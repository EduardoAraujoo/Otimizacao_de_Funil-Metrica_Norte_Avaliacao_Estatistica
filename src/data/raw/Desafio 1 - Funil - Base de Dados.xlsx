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do\Downloads\"/>
    </mc:Choice>
  </mc:AlternateContent>
  <xr:revisionPtr revIDLastSave="0" documentId="13_ncr:1_{A64678B4-28B3-4BAB-AAE3-627B13A16FF3}" xr6:coauthVersionLast="47" xr6:coauthVersionMax="47" xr10:uidLastSave="{00000000-0000-0000-0000-000000000000}"/>
  <bookViews>
    <workbookView xWindow="0" yWindow="15" windowWidth="38640" windowHeight="16440" xr2:uid="{2BDB0879-AB39-064A-A0B4-B44FB69DF296}"/>
  </bookViews>
  <sheets>
    <sheet name="Consolidado (Funil A)" sheetId="2" r:id="rId1"/>
    <sheet name="Fluxos Separados por FE (A)" sheetId="3" r:id="rId2"/>
    <sheet name="Consolidado (Funil B)" sheetId="5" r:id="rId3"/>
    <sheet name="Fluxos Separados por FE (B)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3" l="1"/>
  <c r="F29" i="3"/>
  <c r="F30" i="3" s="1"/>
  <c r="D29" i="3" s="1"/>
  <c r="F53" i="3"/>
  <c r="I53" i="3" s="1"/>
  <c r="I54" i="3" s="1"/>
  <c r="F5" i="6"/>
  <c r="I5" i="6" s="1"/>
  <c r="I6" i="6" s="1"/>
  <c r="F23" i="6"/>
  <c r="G23" i="6" s="1"/>
  <c r="F41" i="6"/>
  <c r="I41" i="6" s="1"/>
  <c r="F42" i="6"/>
  <c r="I14" i="5"/>
  <c r="I18" i="5"/>
  <c r="I51" i="6"/>
  <c r="I50" i="6" s="1"/>
  <c r="G51" i="6"/>
  <c r="G50" i="6" s="1"/>
  <c r="F50" i="6"/>
  <c r="D51" i="6" s="1"/>
  <c r="I48" i="6"/>
  <c r="I47" i="6" s="1"/>
  <c r="G48" i="6"/>
  <c r="F47" i="6"/>
  <c r="D48" i="6" s="1"/>
  <c r="I45" i="6"/>
  <c r="G45" i="6"/>
  <c r="F44" i="6"/>
  <c r="I33" i="6"/>
  <c r="I32" i="6" s="1"/>
  <c r="G33" i="6"/>
  <c r="F32" i="6"/>
  <c r="D33" i="6" s="1"/>
  <c r="I30" i="6"/>
  <c r="G30" i="6"/>
  <c r="F29" i="6"/>
  <c r="D30" i="6" s="1"/>
  <c r="I27" i="6"/>
  <c r="G27" i="6"/>
  <c r="G26" i="6" s="1"/>
  <c r="F26" i="6"/>
  <c r="D27" i="6" s="1"/>
  <c r="I15" i="6"/>
  <c r="I14" i="6" s="1"/>
  <c r="G15" i="6"/>
  <c r="F14" i="6"/>
  <c r="I12" i="6"/>
  <c r="G12" i="6"/>
  <c r="F11" i="6"/>
  <c r="I9" i="6"/>
  <c r="G9" i="6"/>
  <c r="G8" i="6" s="1"/>
  <c r="F8" i="6"/>
  <c r="D9" i="6" s="1"/>
  <c r="I20" i="5"/>
  <c r="G20" i="5"/>
  <c r="I19" i="5"/>
  <c r="G19" i="5"/>
  <c r="G18" i="5" s="1"/>
  <c r="F18" i="5"/>
  <c r="I16" i="5"/>
  <c r="G16" i="5"/>
  <c r="I15" i="5"/>
  <c r="G15" i="5"/>
  <c r="G14" i="5" s="1"/>
  <c r="F14" i="5"/>
  <c r="I12" i="5"/>
  <c r="G12" i="5"/>
  <c r="I11" i="5"/>
  <c r="I10" i="5" s="1"/>
  <c r="G11" i="5"/>
  <c r="F10" i="5"/>
  <c r="F8" i="5"/>
  <c r="D7" i="5" s="1"/>
  <c r="I7" i="5"/>
  <c r="G7" i="5"/>
  <c r="I6" i="5"/>
  <c r="G6" i="5"/>
  <c r="I5" i="5"/>
  <c r="G5" i="5"/>
  <c r="D67" i="3"/>
  <c r="I66" i="3"/>
  <c r="G61" i="3"/>
  <c r="F66" i="3"/>
  <c r="F61" i="3"/>
  <c r="D64" i="3" s="1"/>
  <c r="I69" i="3"/>
  <c r="I68" i="3"/>
  <c r="I67" i="3"/>
  <c r="I64" i="3"/>
  <c r="I63" i="3"/>
  <c r="I62" i="3"/>
  <c r="I61" i="3" s="1"/>
  <c r="I59" i="3"/>
  <c r="I58" i="3"/>
  <c r="I57" i="3"/>
  <c r="G69" i="3"/>
  <c r="G68" i="3"/>
  <c r="G67" i="3"/>
  <c r="G64" i="3"/>
  <c r="G63" i="3"/>
  <c r="G62" i="3"/>
  <c r="G59" i="3"/>
  <c r="G58" i="3"/>
  <c r="G57" i="3"/>
  <c r="G56" i="3"/>
  <c r="F56" i="3"/>
  <c r="D59" i="3" s="1"/>
  <c r="F42" i="3"/>
  <c r="D45" i="3" s="1"/>
  <c r="F37" i="3"/>
  <c r="D40" i="3" s="1"/>
  <c r="F32" i="3"/>
  <c r="F18" i="3"/>
  <c r="D20" i="3"/>
  <c r="F13" i="3"/>
  <c r="I16" i="3"/>
  <c r="G16" i="3"/>
  <c r="D16" i="3"/>
  <c r="I21" i="3"/>
  <c r="G21" i="3"/>
  <c r="I19" i="3"/>
  <c r="G19" i="3"/>
  <c r="I44" i="3"/>
  <c r="G44" i="3"/>
  <c r="I43" i="3"/>
  <c r="G43" i="3"/>
  <c r="I40" i="3"/>
  <c r="G40" i="3"/>
  <c r="I35" i="3"/>
  <c r="G35" i="3"/>
  <c r="D39" i="3"/>
  <c r="G45" i="3"/>
  <c r="G39" i="3"/>
  <c r="G38" i="3"/>
  <c r="G34" i="3"/>
  <c r="G33" i="3"/>
  <c r="I45" i="3"/>
  <c r="I39" i="3"/>
  <c r="I38" i="3"/>
  <c r="I37" i="3" s="1"/>
  <c r="I34" i="3"/>
  <c r="I33" i="3"/>
  <c r="I32" i="3" s="1"/>
  <c r="D34" i="3"/>
  <c r="D32" i="2"/>
  <c r="D28" i="2"/>
  <c r="D27" i="2"/>
  <c r="D24" i="2"/>
  <c r="D23" i="2"/>
  <c r="D22" i="2"/>
  <c r="D21" i="2"/>
  <c r="D20" i="2"/>
  <c r="D19" i="2"/>
  <c r="D16" i="2"/>
  <c r="D14" i="2"/>
  <c r="D13" i="2"/>
  <c r="D12" i="2"/>
  <c r="D11" i="2"/>
  <c r="I20" i="3"/>
  <c r="I18" i="3" s="1"/>
  <c r="I15" i="3"/>
  <c r="I14" i="3"/>
  <c r="I11" i="3"/>
  <c r="I10" i="3"/>
  <c r="I9" i="3"/>
  <c r="I5" i="3"/>
  <c r="I6" i="3" s="1"/>
  <c r="G20" i="3"/>
  <c r="G18" i="3" s="1"/>
  <c r="G15" i="3"/>
  <c r="G14" i="3"/>
  <c r="G11" i="3"/>
  <c r="G10" i="3"/>
  <c r="G9" i="3"/>
  <c r="G5" i="3"/>
  <c r="G6" i="3" s="1"/>
  <c r="F8" i="3"/>
  <c r="F6" i="3"/>
  <c r="D5" i="3" s="1"/>
  <c r="F10" i="2"/>
  <c r="D15" i="2" s="1"/>
  <c r="F18" i="2"/>
  <c r="F26" i="2"/>
  <c r="D31" i="2" s="1"/>
  <c r="F33" i="2"/>
  <c r="I27" i="2"/>
  <c r="G27" i="2"/>
  <c r="I29" i="2"/>
  <c r="I30" i="2"/>
  <c r="I31" i="2"/>
  <c r="I32" i="2"/>
  <c r="I28" i="2"/>
  <c r="G29" i="2"/>
  <c r="G30" i="2"/>
  <c r="G31" i="2"/>
  <c r="G32" i="2"/>
  <c r="G28" i="2"/>
  <c r="I20" i="2"/>
  <c r="I21" i="2"/>
  <c r="I22" i="2"/>
  <c r="I23" i="2"/>
  <c r="I24" i="2"/>
  <c r="I19" i="2"/>
  <c r="G20" i="2"/>
  <c r="G21" i="2"/>
  <c r="G22" i="2"/>
  <c r="G23" i="2"/>
  <c r="G24" i="2"/>
  <c r="G19" i="2"/>
  <c r="G12" i="2"/>
  <c r="G13" i="2"/>
  <c r="G14" i="2"/>
  <c r="G15" i="2"/>
  <c r="G16" i="2"/>
  <c r="G11" i="2"/>
  <c r="I12" i="2"/>
  <c r="I13" i="2"/>
  <c r="I14" i="2"/>
  <c r="I15" i="2"/>
  <c r="I16" i="2"/>
  <c r="I11" i="2"/>
  <c r="I6" i="2"/>
  <c r="I7" i="2"/>
  <c r="I5" i="2"/>
  <c r="I8" i="2" s="1"/>
  <c r="G6" i="2"/>
  <c r="G7" i="2"/>
  <c r="G5" i="2"/>
  <c r="G8" i="2" s="1"/>
  <c r="F8" i="2"/>
  <c r="D26" i="2" s="1"/>
  <c r="I29" i="3" l="1"/>
  <c r="I30" i="3" s="1"/>
  <c r="D41" i="6"/>
  <c r="F6" i="6"/>
  <c r="D11" i="6" s="1"/>
  <c r="G29" i="3"/>
  <c r="G30" i="3" s="1"/>
  <c r="F54" i="3"/>
  <c r="D53" i="3" s="1"/>
  <c r="G41" i="6"/>
  <c r="D5" i="2"/>
  <c r="G5" i="6"/>
  <c r="G6" i="6" s="1"/>
  <c r="D6" i="2"/>
  <c r="D7" i="2"/>
  <c r="I10" i="2"/>
  <c r="I33" i="2" s="1"/>
  <c r="D29" i="2"/>
  <c r="D30" i="2"/>
  <c r="G66" i="3"/>
  <c r="G13" i="3"/>
  <c r="F70" i="3"/>
  <c r="F46" i="3"/>
  <c r="G70" i="3"/>
  <c r="D68" i="3"/>
  <c r="D69" i="3"/>
  <c r="G32" i="3"/>
  <c r="G37" i="3"/>
  <c r="D62" i="3"/>
  <c r="G53" i="3"/>
  <c r="G54" i="3" s="1"/>
  <c r="D63" i="3"/>
  <c r="D57" i="3"/>
  <c r="D58" i="3"/>
  <c r="I56" i="3"/>
  <c r="I70" i="3" s="1"/>
  <c r="D38" i="3"/>
  <c r="F24" i="6"/>
  <c r="D23" i="6" s="1"/>
  <c r="I23" i="6"/>
  <c r="D66" i="3"/>
  <c r="D56" i="3"/>
  <c r="D61" i="3"/>
  <c r="D44" i="6"/>
  <c r="D45" i="6"/>
  <c r="G44" i="6"/>
  <c r="G32" i="6"/>
  <c r="D14" i="6"/>
  <c r="I29" i="6"/>
  <c r="G47" i="6"/>
  <c r="G52" i="6" s="1"/>
  <c r="G14" i="6"/>
  <c r="D26" i="6"/>
  <c r="G29" i="6"/>
  <c r="G34" i="6" s="1"/>
  <c r="D32" i="6"/>
  <c r="G11" i="6"/>
  <c r="G42" i="6"/>
  <c r="I11" i="6"/>
  <c r="G24" i="6"/>
  <c r="I42" i="6"/>
  <c r="I24" i="6"/>
  <c r="D50" i="6"/>
  <c r="I26" i="6"/>
  <c r="I34" i="6" s="1"/>
  <c r="I8" i="6"/>
  <c r="I44" i="6"/>
  <c r="I52" i="6" s="1"/>
  <c r="F52" i="6"/>
  <c r="D47" i="6"/>
  <c r="F34" i="6"/>
  <c r="D29" i="6"/>
  <c r="D15" i="6"/>
  <c r="F16" i="6"/>
  <c r="D8" i="6"/>
  <c r="D5" i="6"/>
  <c r="D12" i="6"/>
  <c r="G8" i="5"/>
  <c r="I8" i="5"/>
  <c r="G10" i="5"/>
  <c r="G21" i="5" s="1"/>
  <c r="D11" i="5"/>
  <c r="D18" i="5"/>
  <c r="I21" i="5"/>
  <c r="D14" i="5"/>
  <c r="D5" i="5"/>
  <c r="D12" i="5"/>
  <c r="D10" i="5"/>
  <c r="D19" i="5"/>
  <c r="D15" i="5"/>
  <c r="D6" i="5"/>
  <c r="D20" i="5"/>
  <c r="D16" i="5"/>
  <c r="F21" i="5"/>
  <c r="I13" i="3"/>
  <c r="I42" i="3"/>
  <c r="I46" i="3" s="1"/>
  <c r="G42" i="3"/>
  <c r="G46" i="3" s="1"/>
  <c r="D19" i="3"/>
  <c r="D43" i="3"/>
  <c r="D21" i="3"/>
  <c r="D32" i="3"/>
  <c r="D44" i="3"/>
  <c r="I8" i="3"/>
  <c r="F22" i="3"/>
  <c r="D35" i="3"/>
  <c r="D37" i="3"/>
  <c r="D42" i="3"/>
  <c r="D33" i="3"/>
  <c r="D8" i="3"/>
  <c r="D13" i="3"/>
  <c r="D18" i="3"/>
  <c r="D9" i="3"/>
  <c r="D11" i="3"/>
  <c r="D10" i="3"/>
  <c r="G8" i="3"/>
  <c r="G22" i="3" s="1"/>
  <c r="D14" i="3"/>
  <c r="D15" i="3"/>
  <c r="D10" i="2"/>
  <c r="D18" i="2"/>
  <c r="G10" i="2"/>
  <c r="G33" i="2" s="1"/>
  <c r="I18" i="2"/>
  <c r="I26" i="2"/>
  <c r="G26" i="2"/>
  <c r="G18" i="2"/>
  <c r="I22" i="3" l="1"/>
  <c r="I16" i="6"/>
  <c r="G16" i="6"/>
</calcChain>
</file>

<file path=xl/sharedStrings.xml><?xml version="1.0" encoding="utf-8"?>
<sst xmlns="http://schemas.openxmlformats.org/spreadsheetml/2006/main" count="379" uniqueCount="45">
  <si>
    <t>Product</t>
  </si>
  <si>
    <t>Sale Price</t>
  </si>
  <si>
    <t>Orders</t>
  </si>
  <si>
    <t>Total Revenue</t>
  </si>
  <si>
    <t>Operating Profit</t>
  </si>
  <si>
    <t>-</t>
  </si>
  <si>
    <t>📊 RESUMO FRONTS (FE)</t>
  </si>
  <si>
    <t>Up 1 - Backend</t>
  </si>
  <si>
    <t>Up 2 - Backend</t>
  </si>
  <si>
    <t>Up 3 - Backend</t>
  </si>
  <si>
    <t>📊 RESUMO BACKENDS (BE)</t>
  </si>
  <si>
    <t>10/02/26 a 19/02/26</t>
  </si>
  <si>
    <t>Taxa de Conversão</t>
  </si>
  <si>
    <t>📊 RESUMO BACKEND (BE)</t>
  </si>
  <si>
    <t>FE2; FE3; FE6 (tabela consolidada dos 3 fluxos)</t>
  </si>
  <si>
    <t>RESUMO FE2</t>
  </si>
  <si>
    <t>OPP/Venda</t>
  </si>
  <si>
    <t>RESUMO FE3</t>
  </si>
  <si>
    <t>RESUMO FE6</t>
  </si>
  <si>
    <t>"Dos clientes que optaram pela compra do frontend de 2 potes, esse foi o perfil de compra no restante do funil"</t>
  </si>
  <si>
    <t>"Dos clientes que optaram pela compra do frontend de 3 potes, esse foi o perfil de compra no restante do funil"</t>
  </si>
  <si>
    <t>"Dos clientes que optaram pela compra do frontend de 6 potes, esse foi o perfil de compra no restante do funil"</t>
  </si>
  <si>
    <t>19/02/26 a 28/02/26</t>
  </si>
  <si>
    <t>Produto 1 - 3 Bottles</t>
  </si>
  <si>
    <t>Produto 1 - 6 Bottles</t>
  </si>
  <si>
    <t>Produto 1 - 2 Bottles</t>
  </si>
  <si>
    <t>Produto 1 - Special Offer - 6 Bottles</t>
  </si>
  <si>
    <t>Produto 1 - Special Offer - 3 Bottles</t>
  </si>
  <si>
    <t>Produto 1 - Special Offer - 9 Bottles</t>
  </si>
  <si>
    <t>Produto 1- Special Offer + - 2 Bottles</t>
  </si>
  <si>
    <t>Produto 1- Special Offer + - 3 Bottles</t>
  </si>
  <si>
    <t>Produto 1- Special Offer + - 6 Bottles</t>
  </si>
  <si>
    <t>Produto 2 - Special Offer + - 6 Bottles</t>
  </si>
  <si>
    <t>Produto 2 - Special Offer + - 3 Bottles</t>
  </si>
  <si>
    <t>Produto 2 - Special Offer + - 2 Bottles</t>
  </si>
  <si>
    <t>Produto 2- Special Offer - 3 Bottles</t>
  </si>
  <si>
    <t>Produto 2- Special Offer - 2 Bottles</t>
  </si>
  <si>
    <t>Produto 2- Special Offer - 6 Bottles</t>
  </si>
  <si>
    <t>Produto 3 - Special Offer + - 6 Bottles</t>
  </si>
  <si>
    <t>Produto 3 - Special Offer + - 3 Bottles</t>
  </si>
  <si>
    <t>Produto 3 - Special Offer + - 2 Bottles</t>
  </si>
  <si>
    <t>Produto 3- Special Offer - 3 Bottles</t>
  </si>
  <si>
    <t>Produto 3- Special Offer - 2 Bottles</t>
  </si>
  <si>
    <t>Produto 3- Special Offer - 6 Bottles</t>
  </si>
  <si>
    <t>Produto 1 - Special Offer - 12 Bottles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</si>
</sst>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7" x14ac:knownFonts="1">
    <font>
      <sz val="12"/>
      <color theme="1"/>
      <name val="Aptos Narrow"/>
      <family val="2"/>
      <scheme val="minor"/>
    </font>
    <font>
      <sz val="12"/>
      <color rgb="FF374151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9" fontId="0" fillId="0" borderId="0" xfId="0" applyNumberFormat="1"/>
    <xf numFmtId="9" fontId="3" fillId="0" borderId="0" xfId="0" applyNumberFormat="1" applyFont="1"/>
    <xf numFmtId="10" fontId="3" fillId="0" borderId="0" xfId="0" applyNumberFormat="1" applyFont="1"/>
    <xf numFmtId="10" fontId="2" fillId="0" borderId="0" xfId="0" applyNumberFormat="1" applyFont="1"/>
    <xf numFmtId="164" fontId="0" fillId="0" borderId="0" xfId="0" applyNumberFormat="1"/>
    <xf numFmtId="164" fontId="2" fillId="0" borderId="0" xfId="0" applyNumberFormat="1" applyFont="1"/>
    <xf numFmtId="164" fontId="3" fillId="0" borderId="0" xfId="0" applyNumberFormat="1" applyFont="1"/>
    <xf numFmtId="164" fontId="4" fillId="0" borderId="0" xfId="0" applyNumberFormat="1" applyFont="1"/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/>
    <xf numFmtId="0" fontId="0" fillId="2" borderId="0" xfId="0" applyFill="1"/>
    <xf numFmtId="164" fontId="0" fillId="2" borderId="0" xfId="0" applyNumberFormat="1" applyFill="1"/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12928</xdr:colOff>
      <xdr:row>2</xdr:row>
      <xdr:rowOff>31894</xdr:rowOff>
    </xdr:from>
    <xdr:to>
      <xdr:col>18</xdr:col>
      <xdr:colOff>417492</xdr:colOff>
      <xdr:row>33</xdr:row>
      <xdr:rowOff>41663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A64C831-0C3A-87C6-89E3-58639E8D5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5810" y="435306"/>
          <a:ext cx="7128094" cy="65540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352026</xdr:colOff>
      <xdr:row>3</xdr:row>
      <xdr:rowOff>87922</xdr:rowOff>
    </xdr:from>
    <xdr:to>
      <xdr:col>16</xdr:col>
      <xdr:colOff>371231</xdr:colOff>
      <xdr:row>29</xdr:row>
      <xdr:rowOff>156791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479F6A9-1DF2-1366-1C6C-1D275643B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45949" y="996460"/>
          <a:ext cx="5001513" cy="54028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61518-E0D2-694D-8218-8382D282286B}">
  <dimension ref="B1:I33"/>
  <sheetViews>
    <sheetView tabSelected="1" zoomScale="85" zoomScaleNormal="85" workbookViewId="0">
      <selection activeCell="T19" sqref="T19"/>
    </sheetView>
  </sheetViews>
  <sheetFormatPr defaultColWidth="11" defaultRowHeight="15.75" x14ac:dyDescent="0.25"/>
  <cols>
    <col min="1" max="1" width="3.5" customWidth="1"/>
    <col min="2" max="2" width="32.875" bestFit="1" customWidth="1"/>
    <col min="5" max="5" width="10.875" style="9"/>
    <col min="7" max="7" width="13.5" style="9" bestFit="1" customWidth="1"/>
    <col min="8" max="8" width="11.875" style="9" customWidth="1"/>
    <col min="9" max="9" width="15.125" style="9" bestFit="1" customWidth="1"/>
  </cols>
  <sheetData>
    <row r="1" spans="2:9" x14ac:dyDescent="0.25">
      <c r="B1" t="s">
        <v>11</v>
      </c>
    </row>
    <row r="2" spans="2:9" x14ac:dyDescent="0.25">
      <c r="B2" t="s">
        <v>14</v>
      </c>
    </row>
    <row r="3" spans="2:9" s="15" customFormat="1" ht="39" customHeight="1" x14ac:dyDescent="0.25">
      <c r="B3" s="13" t="s">
        <v>0</v>
      </c>
      <c r="C3" s="13"/>
      <c r="D3" s="13" t="s">
        <v>12</v>
      </c>
      <c r="E3" s="14" t="s">
        <v>1</v>
      </c>
      <c r="F3" s="13" t="s">
        <v>2</v>
      </c>
      <c r="G3" s="14" t="s">
        <v>3</v>
      </c>
      <c r="H3" s="14" t="s">
        <v>16</v>
      </c>
      <c r="I3" s="14" t="s">
        <v>4</v>
      </c>
    </row>
    <row r="4" spans="2:9" x14ac:dyDescent="0.25">
      <c r="B4" s="2"/>
      <c r="C4" s="2"/>
      <c r="D4" s="2"/>
      <c r="E4" s="10"/>
      <c r="F4" s="2"/>
      <c r="G4" s="10"/>
      <c r="H4" s="10"/>
      <c r="I4" s="10"/>
    </row>
    <row r="5" spans="2:9" x14ac:dyDescent="0.25">
      <c r="B5" s="3" t="s">
        <v>23</v>
      </c>
      <c r="C5" s="3" t="s">
        <v>5</v>
      </c>
      <c r="D5" s="7">
        <f>F5/$F$8</f>
        <v>0.11764705882352941</v>
      </c>
      <c r="E5" s="11">
        <v>209.94</v>
      </c>
      <c r="F5" s="3">
        <v>62</v>
      </c>
      <c r="G5" s="11">
        <f>F5*E5</f>
        <v>13016.28</v>
      </c>
      <c r="H5" s="11">
        <v>141.27000000000001</v>
      </c>
      <c r="I5" s="11">
        <f>H5*F5</f>
        <v>8758.74</v>
      </c>
    </row>
    <row r="6" spans="2:9" x14ac:dyDescent="0.25">
      <c r="B6" s="3" t="s">
        <v>24</v>
      </c>
      <c r="C6" s="3" t="s">
        <v>5</v>
      </c>
      <c r="D6" s="7">
        <f>F6/$F$8</f>
        <v>0.75711574952561667</v>
      </c>
      <c r="E6" s="11">
        <v>299.88</v>
      </c>
      <c r="F6" s="3">
        <v>399</v>
      </c>
      <c r="G6" s="11">
        <f t="shared" ref="G6:G7" si="0">F6*E6</f>
        <v>119652.12</v>
      </c>
      <c r="H6" s="11">
        <v>201.84</v>
      </c>
      <c r="I6" s="11">
        <f t="shared" ref="I6:I7" si="1">H6*F6</f>
        <v>80534.16</v>
      </c>
    </row>
    <row r="7" spans="2:9" x14ac:dyDescent="0.25">
      <c r="B7" s="3" t="s">
        <v>25</v>
      </c>
      <c r="C7" s="3" t="s">
        <v>5</v>
      </c>
      <c r="D7" s="7">
        <f>F7/$F$8</f>
        <v>0.1252371916508539</v>
      </c>
      <c r="E7" s="11">
        <v>159.96</v>
      </c>
      <c r="F7" s="3">
        <v>66</v>
      </c>
      <c r="G7" s="11">
        <f t="shared" si="0"/>
        <v>10557.36</v>
      </c>
      <c r="H7" s="11">
        <v>106.13</v>
      </c>
      <c r="I7" s="11">
        <f t="shared" si="1"/>
        <v>7004.58</v>
      </c>
    </row>
    <row r="8" spans="2:9" x14ac:dyDescent="0.25">
      <c r="B8" s="4" t="s">
        <v>6</v>
      </c>
      <c r="C8" s="4" t="s">
        <v>5</v>
      </c>
      <c r="D8" s="4" t="s">
        <v>5</v>
      </c>
      <c r="E8" s="12" t="s">
        <v>5</v>
      </c>
      <c r="F8" s="4">
        <f>SUM(F5:F7)</f>
        <v>527</v>
      </c>
      <c r="G8" s="12">
        <f>SUM(G5:G7)</f>
        <v>143225.76</v>
      </c>
      <c r="H8" s="12" t="s">
        <v>5</v>
      </c>
      <c r="I8" s="12">
        <f>SUM(I5:I7)</f>
        <v>96297.48000000001</v>
      </c>
    </row>
    <row r="9" spans="2:9" x14ac:dyDescent="0.25">
      <c r="B9" s="3"/>
    </row>
    <row r="10" spans="2:9" x14ac:dyDescent="0.25">
      <c r="B10" s="2" t="s">
        <v>7</v>
      </c>
      <c r="C10" s="2" t="s">
        <v>5</v>
      </c>
      <c r="D10" s="8">
        <f>F10/F8</f>
        <v>0.23719165085388993</v>
      </c>
      <c r="E10" s="10" t="s">
        <v>5</v>
      </c>
      <c r="F10" s="2">
        <f>SUM(F11:F16)</f>
        <v>125</v>
      </c>
      <c r="G10" s="10">
        <f>SUM(G11:G16)</f>
        <v>28332.600000000002</v>
      </c>
      <c r="H10" s="10" t="s">
        <v>5</v>
      </c>
      <c r="I10" s="10">
        <f>SUM(I11:I16)</f>
        <v>20303.960000000003</v>
      </c>
    </row>
    <row r="11" spans="2:9" x14ac:dyDescent="0.25">
      <c r="B11" s="3" t="s">
        <v>26</v>
      </c>
      <c r="C11" s="3" t="s">
        <v>5</v>
      </c>
      <c r="D11" s="7">
        <f t="shared" ref="D11:D16" si="2">F11/$F$10</f>
        <v>0.14399999999999999</v>
      </c>
      <c r="E11" s="11">
        <v>239.88</v>
      </c>
      <c r="F11" s="3">
        <v>18</v>
      </c>
      <c r="G11" s="11">
        <f t="shared" ref="G11:G16" si="3">F11*E11</f>
        <v>4317.84</v>
      </c>
      <c r="H11" s="11">
        <v>165.99</v>
      </c>
      <c r="I11" s="11">
        <f t="shared" ref="I11:I16" si="4">H11*F11</f>
        <v>2987.82</v>
      </c>
    </row>
    <row r="12" spans="2:9" x14ac:dyDescent="0.25">
      <c r="B12" s="3" t="s">
        <v>27</v>
      </c>
      <c r="C12" s="3" t="s">
        <v>5</v>
      </c>
      <c r="D12" s="7">
        <f t="shared" si="2"/>
        <v>8.7999999999999995E-2</v>
      </c>
      <c r="E12" s="11">
        <v>149.94</v>
      </c>
      <c r="F12" s="3">
        <v>11</v>
      </c>
      <c r="G12" s="11">
        <f t="shared" si="3"/>
        <v>1649.34</v>
      </c>
      <c r="H12" s="11">
        <v>105.42</v>
      </c>
      <c r="I12" s="11">
        <f t="shared" si="4"/>
        <v>1159.6200000000001</v>
      </c>
    </row>
    <row r="13" spans="2:9" x14ac:dyDescent="0.25">
      <c r="B13" s="3" t="s">
        <v>28</v>
      </c>
      <c r="C13" s="3" t="s">
        <v>5</v>
      </c>
      <c r="D13" s="7">
        <f t="shared" si="2"/>
        <v>0.54400000000000004</v>
      </c>
      <c r="E13" s="11">
        <v>269.82</v>
      </c>
      <c r="F13" s="3">
        <v>68</v>
      </c>
      <c r="G13" s="11">
        <f t="shared" si="3"/>
        <v>18347.759999999998</v>
      </c>
      <c r="H13" s="11">
        <v>197.25</v>
      </c>
      <c r="I13" s="11">
        <f t="shared" si="4"/>
        <v>13413</v>
      </c>
    </row>
    <row r="14" spans="2:9" x14ac:dyDescent="0.25">
      <c r="B14" s="3" t="s">
        <v>29</v>
      </c>
      <c r="C14" s="3" t="s">
        <v>5</v>
      </c>
      <c r="D14" s="7">
        <f t="shared" si="2"/>
        <v>2.4E-2</v>
      </c>
      <c r="E14" s="11">
        <v>99.96</v>
      </c>
      <c r="F14" s="3">
        <v>3</v>
      </c>
      <c r="G14" s="11">
        <f t="shared" si="3"/>
        <v>299.88</v>
      </c>
      <c r="H14" s="11">
        <v>70.28</v>
      </c>
      <c r="I14" s="11">
        <f t="shared" si="4"/>
        <v>210.84</v>
      </c>
    </row>
    <row r="15" spans="2:9" x14ac:dyDescent="0.25">
      <c r="B15" s="3" t="s">
        <v>30</v>
      </c>
      <c r="C15" s="3" t="s">
        <v>5</v>
      </c>
      <c r="D15" s="7">
        <f t="shared" si="2"/>
        <v>0.104</v>
      </c>
      <c r="E15" s="11">
        <v>119.94</v>
      </c>
      <c r="F15" s="3">
        <v>13</v>
      </c>
      <c r="G15" s="11">
        <f t="shared" si="3"/>
        <v>1559.22</v>
      </c>
      <c r="H15" s="11">
        <v>83</v>
      </c>
      <c r="I15" s="11">
        <f t="shared" si="4"/>
        <v>1079</v>
      </c>
    </row>
    <row r="16" spans="2:9" x14ac:dyDescent="0.25">
      <c r="B16" s="3" t="s">
        <v>31</v>
      </c>
      <c r="C16" s="3" t="s">
        <v>5</v>
      </c>
      <c r="D16" s="7">
        <f t="shared" si="2"/>
        <v>9.6000000000000002E-2</v>
      </c>
      <c r="E16" s="11">
        <v>179.88</v>
      </c>
      <c r="F16" s="3">
        <v>12</v>
      </c>
      <c r="G16" s="11">
        <f t="shared" si="3"/>
        <v>2158.56</v>
      </c>
      <c r="H16" s="11">
        <v>121.14</v>
      </c>
      <c r="I16" s="11">
        <f t="shared" si="4"/>
        <v>1453.68</v>
      </c>
    </row>
    <row r="17" spans="2:9" x14ac:dyDescent="0.25">
      <c r="B17" s="3"/>
    </row>
    <row r="18" spans="2:9" x14ac:dyDescent="0.25">
      <c r="B18" s="2" t="s">
        <v>8</v>
      </c>
      <c r="C18" s="2" t="s">
        <v>5</v>
      </c>
      <c r="D18" s="8">
        <f>F18/F8</f>
        <v>8.5388994307400379E-2</v>
      </c>
      <c r="E18" s="10" t="s">
        <v>5</v>
      </c>
      <c r="F18" s="2">
        <f>SUM(F19:F24)</f>
        <v>45</v>
      </c>
      <c r="G18" s="10">
        <f>SUM(G19:G24)</f>
        <v>6226.18</v>
      </c>
      <c r="H18" s="10" t="s">
        <v>5</v>
      </c>
      <c r="I18" s="10">
        <f>SUM(I19:I24)</f>
        <v>4228.17</v>
      </c>
    </row>
    <row r="19" spans="2:9" x14ac:dyDescent="0.25">
      <c r="B19" s="3" t="s">
        <v>32</v>
      </c>
      <c r="C19" s="3" t="s">
        <v>5</v>
      </c>
      <c r="D19" s="7">
        <f t="shared" ref="D19:D24" si="5">F19/$F$18</f>
        <v>2.2222222222222223E-2</v>
      </c>
      <c r="E19" s="11">
        <v>119.88</v>
      </c>
      <c r="F19" s="3">
        <v>1</v>
      </c>
      <c r="G19" s="11">
        <f t="shared" ref="G19:G24" si="6">F19*E19</f>
        <v>119.88</v>
      </c>
      <c r="H19" s="11">
        <v>76.23</v>
      </c>
      <c r="I19" s="11">
        <f t="shared" ref="I19:I24" si="7">H19*F19</f>
        <v>76.23</v>
      </c>
    </row>
    <row r="20" spans="2:9" x14ac:dyDescent="0.25">
      <c r="B20" s="3" t="s">
        <v>33</v>
      </c>
      <c r="C20" s="3" t="s">
        <v>5</v>
      </c>
      <c r="D20" s="7">
        <f t="shared" si="5"/>
        <v>0.1111111111111111</v>
      </c>
      <c r="E20" s="11">
        <v>89.94</v>
      </c>
      <c r="F20" s="3">
        <v>5</v>
      </c>
      <c r="G20" s="11">
        <f t="shared" si="6"/>
        <v>449.7</v>
      </c>
      <c r="H20" s="11">
        <v>60.54</v>
      </c>
      <c r="I20" s="11">
        <f t="shared" si="7"/>
        <v>302.7</v>
      </c>
    </row>
    <row r="21" spans="2:9" x14ac:dyDescent="0.25">
      <c r="B21" s="3" t="s">
        <v>34</v>
      </c>
      <c r="C21" s="3" t="s">
        <v>5</v>
      </c>
      <c r="D21" s="7">
        <f t="shared" si="5"/>
        <v>8.8888888888888892E-2</v>
      </c>
      <c r="E21" s="11">
        <v>79.959999999999994</v>
      </c>
      <c r="F21" s="3">
        <v>4</v>
      </c>
      <c r="G21" s="11">
        <f t="shared" si="6"/>
        <v>319.83999999999997</v>
      </c>
      <c r="H21" s="11">
        <v>55.31</v>
      </c>
      <c r="I21" s="11">
        <f t="shared" si="7"/>
        <v>221.24</v>
      </c>
    </row>
    <row r="22" spans="2:9" x14ac:dyDescent="0.25">
      <c r="B22" s="3" t="s">
        <v>35</v>
      </c>
      <c r="C22" s="3" t="s">
        <v>5</v>
      </c>
      <c r="D22" s="7">
        <f t="shared" si="5"/>
        <v>0.17777777777777778</v>
      </c>
      <c r="E22" s="11">
        <v>119.94</v>
      </c>
      <c r="F22" s="3">
        <v>8</v>
      </c>
      <c r="G22" s="11">
        <f t="shared" si="6"/>
        <v>959.52</v>
      </c>
      <c r="H22" s="11">
        <v>82.97</v>
      </c>
      <c r="I22" s="11">
        <f t="shared" si="7"/>
        <v>663.76</v>
      </c>
    </row>
    <row r="23" spans="2:9" x14ac:dyDescent="0.25">
      <c r="B23" s="3" t="s">
        <v>36</v>
      </c>
      <c r="C23" s="3" t="s">
        <v>5</v>
      </c>
      <c r="D23" s="7">
        <f t="shared" si="5"/>
        <v>0.13333333333333333</v>
      </c>
      <c r="E23" s="11">
        <v>99.96</v>
      </c>
      <c r="F23" s="3">
        <v>6</v>
      </c>
      <c r="G23" s="11">
        <f t="shared" si="6"/>
        <v>599.76</v>
      </c>
      <c r="H23" s="11">
        <v>70.260000000000005</v>
      </c>
      <c r="I23" s="11">
        <f t="shared" si="7"/>
        <v>421.56000000000006</v>
      </c>
    </row>
    <row r="24" spans="2:9" x14ac:dyDescent="0.25">
      <c r="B24" s="3" t="s">
        <v>37</v>
      </c>
      <c r="C24" s="3" t="s">
        <v>5</v>
      </c>
      <c r="D24" s="7">
        <f t="shared" si="5"/>
        <v>0.46666666666666667</v>
      </c>
      <c r="E24" s="11">
        <v>179.88</v>
      </c>
      <c r="F24" s="3">
        <v>21</v>
      </c>
      <c r="G24" s="11">
        <f t="shared" si="6"/>
        <v>3777.48</v>
      </c>
      <c r="H24" s="11">
        <v>121.08</v>
      </c>
      <c r="I24" s="11">
        <f t="shared" si="7"/>
        <v>2542.6799999999998</v>
      </c>
    </row>
    <row r="25" spans="2:9" x14ac:dyDescent="0.25">
      <c r="B25" s="3"/>
    </row>
    <row r="26" spans="2:9" x14ac:dyDescent="0.25">
      <c r="B26" s="2" t="s">
        <v>9</v>
      </c>
      <c r="C26" s="2" t="s">
        <v>5</v>
      </c>
      <c r="D26" s="8">
        <f>F26/F8</f>
        <v>4.9335863377609111E-2</v>
      </c>
      <c r="E26" s="10" t="s">
        <v>5</v>
      </c>
      <c r="F26" s="2">
        <f>SUM(F27:F32)</f>
        <v>26</v>
      </c>
      <c r="G26" s="10">
        <f>SUM(G28:G32)</f>
        <v>3847.66</v>
      </c>
      <c r="H26" s="10" t="s">
        <v>5</v>
      </c>
      <c r="I26" s="10">
        <f>SUM(I28:I32)</f>
        <v>2616.3999999999996</v>
      </c>
    </row>
    <row r="27" spans="2:9" x14ac:dyDescent="0.25">
      <c r="B27" s="3" t="s">
        <v>38</v>
      </c>
      <c r="C27" s="3" t="s">
        <v>5</v>
      </c>
      <c r="D27" s="7">
        <f t="shared" ref="D27:D32" si="8">F27/$F$26</f>
        <v>0</v>
      </c>
      <c r="E27" s="11">
        <v>119.88</v>
      </c>
      <c r="F27" s="3">
        <v>0</v>
      </c>
      <c r="G27" s="11">
        <f t="shared" ref="G27:G32" si="9">F27*E27</f>
        <v>0</v>
      </c>
      <c r="H27" s="11">
        <v>76.290000000000006</v>
      </c>
      <c r="I27" s="11">
        <f t="shared" ref="I27:I32" si="10">H27*F27</f>
        <v>0</v>
      </c>
    </row>
    <row r="28" spans="2:9" x14ac:dyDescent="0.25">
      <c r="B28" s="3" t="s">
        <v>39</v>
      </c>
      <c r="C28" s="3" t="s">
        <v>5</v>
      </c>
      <c r="D28" s="7">
        <f t="shared" si="8"/>
        <v>3.8461538461538464E-2</v>
      </c>
      <c r="E28" s="11">
        <v>89.94</v>
      </c>
      <c r="F28" s="3">
        <v>1</v>
      </c>
      <c r="G28" s="11">
        <f t="shared" si="9"/>
        <v>89.94</v>
      </c>
      <c r="H28" s="11">
        <v>60.57</v>
      </c>
      <c r="I28" s="11">
        <f t="shared" si="10"/>
        <v>60.57</v>
      </c>
    </row>
    <row r="29" spans="2:9" x14ac:dyDescent="0.25">
      <c r="B29" s="3" t="s">
        <v>40</v>
      </c>
      <c r="C29" s="3" t="s">
        <v>5</v>
      </c>
      <c r="D29" s="7">
        <f t="shared" si="8"/>
        <v>3.8461538461538464E-2</v>
      </c>
      <c r="E29" s="11">
        <v>79.959999999999994</v>
      </c>
      <c r="F29" s="3">
        <v>1</v>
      </c>
      <c r="G29" s="11">
        <f t="shared" si="9"/>
        <v>79.959999999999994</v>
      </c>
      <c r="H29" s="11">
        <v>55.33</v>
      </c>
      <c r="I29" s="11">
        <f t="shared" si="10"/>
        <v>55.33</v>
      </c>
    </row>
    <row r="30" spans="2:9" x14ac:dyDescent="0.25">
      <c r="B30" s="3" t="s">
        <v>41</v>
      </c>
      <c r="C30" s="3" t="s">
        <v>5</v>
      </c>
      <c r="D30" s="7">
        <f t="shared" si="8"/>
        <v>0.15384615384615385</v>
      </c>
      <c r="E30" s="11">
        <v>119.94</v>
      </c>
      <c r="F30" s="3">
        <v>4</v>
      </c>
      <c r="G30" s="11">
        <f t="shared" si="9"/>
        <v>479.76</v>
      </c>
      <c r="H30" s="11">
        <v>83</v>
      </c>
      <c r="I30" s="11">
        <f t="shared" si="10"/>
        <v>332</v>
      </c>
    </row>
    <row r="31" spans="2:9" x14ac:dyDescent="0.25">
      <c r="B31" s="3" t="s">
        <v>42</v>
      </c>
      <c r="C31" s="3" t="s">
        <v>5</v>
      </c>
      <c r="D31" s="7">
        <f t="shared" si="8"/>
        <v>0.19230769230769232</v>
      </c>
      <c r="E31" s="11">
        <v>99.96</v>
      </c>
      <c r="F31" s="3">
        <v>5</v>
      </c>
      <c r="G31" s="11">
        <f t="shared" si="9"/>
        <v>499.79999999999995</v>
      </c>
      <c r="H31" s="11">
        <v>70.28</v>
      </c>
      <c r="I31" s="11">
        <f t="shared" si="10"/>
        <v>351.4</v>
      </c>
    </row>
    <row r="32" spans="2:9" x14ac:dyDescent="0.25">
      <c r="B32" s="3" t="s">
        <v>43</v>
      </c>
      <c r="C32" s="3" t="s">
        <v>5</v>
      </c>
      <c r="D32" s="7">
        <f t="shared" si="8"/>
        <v>0.57692307692307687</v>
      </c>
      <c r="E32" s="11">
        <v>179.88</v>
      </c>
      <c r="F32" s="3">
        <v>15</v>
      </c>
      <c r="G32" s="11">
        <f t="shared" si="9"/>
        <v>2698.2</v>
      </c>
      <c r="H32" s="11">
        <v>121.14</v>
      </c>
      <c r="I32" s="11">
        <f t="shared" si="10"/>
        <v>1817.1</v>
      </c>
    </row>
    <row r="33" spans="2:9" x14ac:dyDescent="0.25">
      <c r="B33" s="4" t="s">
        <v>13</v>
      </c>
      <c r="C33" s="4" t="s">
        <v>5</v>
      </c>
      <c r="D33" s="4" t="s">
        <v>5</v>
      </c>
      <c r="E33" s="12" t="s">
        <v>5</v>
      </c>
      <c r="F33" s="4">
        <f>SUM(F26,F18,F10)</f>
        <v>196</v>
      </c>
      <c r="G33" s="12">
        <f>SUM(G10,G18,G26)</f>
        <v>38406.44</v>
      </c>
      <c r="H33" s="12" t="s">
        <v>5</v>
      </c>
      <c r="I33" s="12">
        <f>SUM(I10,I18,I26)</f>
        <v>27148.530000000006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F7A42-B29A-1443-914F-578D3FBE1662}">
  <dimension ref="A2:N70"/>
  <sheetViews>
    <sheetView zoomScale="85" zoomScaleNormal="85" workbookViewId="0">
      <selection activeCell="M26" sqref="M26"/>
    </sheetView>
  </sheetViews>
  <sheetFormatPr defaultColWidth="11" defaultRowHeight="15.75" x14ac:dyDescent="0.25"/>
  <cols>
    <col min="1" max="1" width="4.625" customWidth="1"/>
    <col min="2" max="2" width="32.875" bestFit="1" customWidth="1"/>
    <col min="5" max="5" width="10.875" style="9"/>
    <col min="7" max="7" width="14.125" style="9" customWidth="1"/>
    <col min="8" max="8" width="12.125" style="9" customWidth="1"/>
    <col min="9" max="9" width="15.375" style="9" bestFit="1" customWidth="1"/>
  </cols>
  <sheetData>
    <row r="2" spans="2:14" x14ac:dyDescent="0.25">
      <c r="B2" s="19" t="s">
        <v>19</v>
      </c>
      <c r="C2" s="19"/>
      <c r="D2" s="19"/>
      <c r="E2" s="19"/>
      <c r="F2" s="19"/>
      <c r="G2" s="19"/>
      <c r="H2" s="19"/>
      <c r="I2" s="19"/>
    </row>
    <row r="3" spans="2:14" ht="33.950000000000003" customHeight="1" x14ac:dyDescent="0.25">
      <c r="B3" s="13" t="s">
        <v>0</v>
      </c>
      <c r="C3" s="13"/>
      <c r="D3" s="13" t="s">
        <v>12</v>
      </c>
      <c r="E3" s="14" t="s">
        <v>1</v>
      </c>
      <c r="F3" s="13" t="s">
        <v>2</v>
      </c>
      <c r="G3" s="14" t="s">
        <v>3</v>
      </c>
      <c r="H3" s="14" t="s">
        <v>16</v>
      </c>
      <c r="I3" s="14" t="s">
        <v>4</v>
      </c>
    </row>
    <row r="4" spans="2:14" x14ac:dyDescent="0.25">
      <c r="B4" s="2"/>
      <c r="C4" s="2"/>
      <c r="D4" s="2"/>
      <c r="E4" s="10"/>
      <c r="F4" s="2"/>
      <c r="G4" s="10"/>
      <c r="H4" s="10"/>
      <c r="I4" s="10"/>
    </row>
    <row r="5" spans="2:14" x14ac:dyDescent="0.25">
      <c r="B5" s="3" t="s">
        <v>25</v>
      </c>
      <c r="C5" s="3" t="s">
        <v>5</v>
      </c>
      <c r="D5" s="6">
        <f>F5/F6</f>
        <v>1</v>
      </c>
      <c r="E5" s="11">
        <v>159.96</v>
      </c>
      <c r="F5" s="3">
        <f>'Consolidado (Funil A)'!F7</f>
        <v>66</v>
      </c>
      <c r="G5" s="11">
        <f>F5*E5</f>
        <v>10557.36</v>
      </c>
      <c r="H5" s="11">
        <v>106.13</v>
      </c>
      <c r="I5" s="11">
        <f>H5*F5</f>
        <v>7004.58</v>
      </c>
      <c r="L5" s="9"/>
      <c r="M5" s="5"/>
      <c r="N5" s="9"/>
    </row>
    <row r="6" spans="2:14" x14ac:dyDescent="0.25">
      <c r="B6" s="4" t="s">
        <v>15</v>
      </c>
      <c r="C6" s="4" t="s">
        <v>5</v>
      </c>
      <c r="D6" s="4" t="s">
        <v>5</v>
      </c>
      <c r="E6" s="12" t="s">
        <v>5</v>
      </c>
      <c r="F6" s="4">
        <f>F5</f>
        <v>66</v>
      </c>
      <c r="G6" s="12">
        <f>G5</f>
        <v>10557.36</v>
      </c>
      <c r="H6" s="12" t="s">
        <v>5</v>
      </c>
      <c r="I6" s="12">
        <f>I5</f>
        <v>7004.58</v>
      </c>
      <c r="L6" s="9"/>
      <c r="M6" s="5"/>
      <c r="N6" s="9"/>
    </row>
    <row r="7" spans="2:14" x14ac:dyDescent="0.25">
      <c r="B7" s="3"/>
      <c r="L7" s="9"/>
      <c r="M7" s="5"/>
      <c r="N7" s="9"/>
    </row>
    <row r="8" spans="2:14" x14ac:dyDescent="0.25">
      <c r="B8" s="2" t="s">
        <v>7</v>
      </c>
      <c r="C8" s="2" t="s">
        <v>5</v>
      </c>
      <c r="D8" s="8">
        <f>F8/F6</f>
        <v>0.18181818181818182</v>
      </c>
      <c r="E8" s="10"/>
      <c r="F8" s="2">
        <f>SUM(F9:F11)</f>
        <v>12</v>
      </c>
      <c r="G8" s="10">
        <f>SUM(G9:G11)</f>
        <v>1858.8600000000001</v>
      </c>
      <c r="H8" s="10"/>
      <c r="I8" s="10">
        <f>SUM(I9:I11)</f>
        <v>1262.96</v>
      </c>
      <c r="N8" s="9"/>
    </row>
    <row r="9" spans="2:14" x14ac:dyDescent="0.25">
      <c r="B9" s="3" t="s">
        <v>31</v>
      </c>
      <c r="C9" s="3" t="s">
        <v>5</v>
      </c>
      <c r="D9" s="7">
        <f>F9/$F$8</f>
        <v>0.66666666666666663</v>
      </c>
      <c r="E9" s="11">
        <v>179.88</v>
      </c>
      <c r="F9" s="3">
        <v>8</v>
      </c>
      <c r="G9" s="11">
        <f>F9*E9</f>
        <v>1439.04</v>
      </c>
      <c r="H9" s="11">
        <v>121.14</v>
      </c>
      <c r="I9" s="11">
        <f>H9*F9</f>
        <v>969.12</v>
      </c>
    </row>
    <row r="10" spans="2:14" x14ac:dyDescent="0.25">
      <c r="B10" s="3" t="s">
        <v>29</v>
      </c>
      <c r="C10" s="3" t="s">
        <v>5</v>
      </c>
      <c r="D10" s="7">
        <f>F10/$F$8</f>
        <v>0.25</v>
      </c>
      <c r="E10" s="11">
        <v>99.96</v>
      </c>
      <c r="F10" s="3">
        <v>3</v>
      </c>
      <c r="G10" s="11">
        <f>F10*E10</f>
        <v>299.88</v>
      </c>
      <c r="H10" s="11">
        <v>70.28</v>
      </c>
      <c r="I10" s="11">
        <f>H10*F10</f>
        <v>210.84</v>
      </c>
    </row>
    <row r="11" spans="2:14" x14ac:dyDescent="0.25">
      <c r="B11" s="3" t="s">
        <v>30</v>
      </c>
      <c r="C11" s="3" t="s">
        <v>5</v>
      </c>
      <c r="D11" s="7">
        <f>F11/$F$8</f>
        <v>8.3333333333333329E-2</v>
      </c>
      <c r="E11" s="11">
        <v>119.94</v>
      </c>
      <c r="F11" s="3">
        <v>1</v>
      </c>
      <c r="G11" s="11">
        <f>F11*E11</f>
        <v>119.94</v>
      </c>
      <c r="H11" s="11">
        <v>83</v>
      </c>
      <c r="I11" s="11">
        <f>H11*F11</f>
        <v>83</v>
      </c>
    </row>
    <row r="12" spans="2:14" x14ac:dyDescent="0.25">
      <c r="B12" s="3"/>
    </row>
    <row r="13" spans="2:14" x14ac:dyDescent="0.25">
      <c r="B13" s="2" t="s">
        <v>8</v>
      </c>
      <c r="C13" s="2" t="s">
        <v>5</v>
      </c>
      <c r="D13" s="8">
        <f>F13/F6</f>
        <v>3.0303030303030304E-2</v>
      </c>
      <c r="E13" s="10"/>
      <c r="F13" s="2">
        <f>SUM(F14:F16)</f>
        <v>2</v>
      </c>
      <c r="G13" s="10">
        <f>SUM(G14:G16)</f>
        <v>199.83999999999997</v>
      </c>
      <c r="H13" s="10"/>
      <c r="I13" s="10">
        <f>SUM(I14:I16)</f>
        <v>131.54000000000002</v>
      </c>
    </row>
    <row r="14" spans="2:14" x14ac:dyDescent="0.25">
      <c r="B14" s="3" t="s">
        <v>32</v>
      </c>
      <c r="C14" s="3" t="s">
        <v>5</v>
      </c>
      <c r="D14" s="6">
        <f>F14/F13</f>
        <v>0.5</v>
      </c>
      <c r="E14" s="11">
        <v>119.88</v>
      </c>
      <c r="F14" s="3">
        <v>1</v>
      </c>
      <c r="G14" s="11">
        <f>F14*E14</f>
        <v>119.88</v>
      </c>
      <c r="H14" s="11">
        <v>76.23</v>
      </c>
      <c r="I14" s="11">
        <f>H14*F14</f>
        <v>76.23</v>
      </c>
    </row>
    <row r="15" spans="2:14" x14ac:dyDescent="0.25">
      <c r="B15" s="3" t="s">
        <v>34</v>
      </c>
      <c r="C15" s="3" t="s">
        <v>5</v>
      </c>
      <c r="D15" s="6">
        <f>F15/F13</f>
        <v>0.5</v>
      </c>
      <c r="E15" s="11">
        <v>79.959999999999994</v>
      </c>
      <c r="F15" s="3">
        <v>1</v>
      </c>
      <c r="G15" s="11">
        <f>F15*E15</f>
        <v>79.959999999999994</v>
      </c>
      <c r="H15" s="11">
        <v>55.31</v>
      </c>
      <c r="I15" s="11">
        <f>H15*F15</f>
        <v>55.31</v>
      </c>
    </row>
    <row r="16" spans="2:14" x14ac:dyDescent="0.25">
      <c r="B16" s="3" t="s">
        <v>33</v>
      </c>
      <c r="C16" s="3" t="s">
        <v>5</v>
      </c>
      <c r="D16" s="7">
        <f>F16/$F$37</f>
        <v>0</v>
      </c>
      <c r="E16" s="3">
        <v>89.94</v>
      </c>
      <c r="F16" s="3">
        <v>0</v>
      </c>
      <c r="G16" s="11">
        <f>F16*E16</f>
        <v>0</v>
      </c>
      <c r="H16" s="3">
        <v>60.54</v>
      </c>
      <c r="I16" s="11">
        <f>H16*F16</f>
        <v>0</v>
      </c>
    </row>
    <row r="17" spans="1:9" x14ac:dyDescent="0.25">
      <c r="B17" s="3"/>
    </row>
    <row r="18" spans="1:9" x14ac:dyDescent="0.25">
      <c r="B18" s="2" t="s">
        <v>9</v>
      </c>
      <c r="C18" s="2" t="s">
        <v>5</v>
      </c>
      <c r="D18" s="8">
        <f>F18/F6</f>
        <v>1.5151515151515152E-2</v>
      </c>
      <c r="E18" s="10"/>
      <c r="F18" s="2">
        <f>SUM(F19:F21)</f>
        <v>1</v>
      </c>
      <c r="G18" s="10">
        <f>G20</f>
        <v>89.94</v>
      </c>
      <c r="H18" s="10"/>
      <c r="I18" s="10">
        <f>I20</f>
        <v>60.57</v>
      </c>
    </row>
    <row r="19" spans="1:9" x14ac:dyDescent="0.25">
      <c r="B19" s="3" t="s">
        <v>38</v>
      </c>
      <c r="C19" s="3" t="s">
        <v>5</v>
      </c>
      <c r="D19" s="7">
        <f>F19/$F$30</f>
        <v>0</v>
      </c>
      <c r="E19" s="11">
        <v>119.88</v>
      </c>
      <c r="F19" s="3">
        <v>0</v>
      </c>
      <c r="G19" s="11">
        <f t="shared" ref="G19" si="0">F19*E19</f>
        <v>0</v>
      </c>
      <c r="H19" s="11">
        <v>76.290000000000006</v>
      </c>
      <c r="I19" s="11">
        <f t="shared" ref="I19" si="1">H19*F19</f>
        <v>0</v>
      </c>
    </row>
    <row r="20" spans="1:9" x14ac:dyDescent="0.25">
      <c r="B20" s="3" t="s">
        <v>39</v>
      </c>
      <c r="C20" s="3" t="s">
        <v>5</v>
      </c>
      <c r="D20" s="6">
        <f>F20/F18</f>
        <v>1</v>
      </c>
      <c r="E20" s="11">
        <v>89.94</v>
      </c>
      <c r="F20" s="3">
        <v>1</v>
      </c>
      <c r="G20" s="11">
        <f>F20*E20</f>
        <v>89.94</v>
      </c>
      <c r="H20" s="11">
        <v>60.57</v>
      </c>
      <c r="I20" s="11">
        <f>H20*F20</f>
        <v>60.57</v>
      </c>
    </row>
    <row r="21" spans="1:9" x14ac:dyDescent="0.25">
      <c r="B21" s="3" t="s">
        <v>40</v>
      </c>
      <c r="C21" s="3" t="s">
        <v>5</v>
      </c>
      <c r="D21" s="6">
        <f>F21/F18</f>
        <v>0</v>
      </c>
      <c r="E21" s="3">
        <v>79.959999999999994</v>
      </c>
      <c r="F21" s="3">
        <v>0</v>
      </c>
      <c r="G21" s="11">
        <f>F21*E21</f>
        <v>0</v>
      </c>
      <c r="H21" s="3">
        <v>55.33</v>
      </c>
      <c r="I21" s="11">
        <f>H21*F21</f>
        <v>0</v>
      </c>
    </row>
    <row r="22" spans="1:9" x14ac:dyDescent="0.25">
      <c r="B22" s="4" t="s">
        <v>10</v>
      </c>
      <c r="C22" s="4" t="s">
        <v>5</v>
      </c>
      <c r="D22" s="4" t="s">
        <v>5</v>
      </c>
      <c r="E22" s="12" t="s">
        <v>5</v>
      </c>
      <c r="F22" s="4">
        <f>SUM(F8,F13,F18)</f>
        <v>15</v>
      </c>
      <c r="G22" s="12">
        <f>SUM(G18,G13,G8)</f>
        <v>2148.6400000000003</v>
      </c>
      <c r="H22" s="12" t="s">
        <v>5</v>
      </c>
      <c r="I22" s="12">
        <f>SUM(I18,I13,I8)</f>
        <v>1455.0700000000002</v>
      </c>
    </row>
    <row r="24" spans="1:9" x14ac:dyDescent="0.25">
      <c r="A24" s="17"/>
      <c r="B24" s="17"/>
      <c r="C24" s="17"/>
      <c r="D24" s="17"/>
      <c r="E24" s="18"/>
      <c r="F24" s="17"/>
      <c r="G24" s="18"/>
      <c r="H24" s="18"/>
      <c r="I24" s="18"/>
    </row>
    <row r="26" spans="1:9" x14ac:dyDescent="0.25">
      <c r="B26" s="19" t="s">
        <v>20</v>
      </c>
      <c r="C26" s="19"/>
      <c r="D26" s="19"/>
      <c r="E26" s="19"/>
      <c r="F26" s="19"/>
      <c r="G26" s="19"/>
      <c r="H26" s="19"/>
      <c r="I26" s="19"/>
    </row>
    <row r="27" spans="1:9" ht="31.5" x14ac:dyDescent="0.25">
      <c r="B27" s="1" t="s">
        <v>0</v>
      </c>
      <c r="C27" s="1"/>
      <c r="D27" s="13" t="s">
        <v>12</v>
      </c>
      <c r="E27" s="14" t="s">
        <v>1</v>
      </c>
      <c r="F27" s="13" t="s">
        <v>2</v>
      </c>
      <c r="G27" s="14" t="s">
        <v>3</v>
      </c>
      <c r="H27" s="14" t="s">
        <v>16</v>
      </c>
      <c r="I27" s="14" t="s">
        <v>4</v>
      </c>
    </row>
    <row r="28" spans="1:9" x14ac:dyDescent="0.25">
      <c r="B28" s="2"/>
      <c r="C28" s="2"/>
      <c r="D28" s="8"/>
      <c r="E28" s="2"/>
      <c r="F28" s="2"/>
      <c r="G28" s="2"/>
      <c r="H28" s="2"/>
      <c r="I28" s="2"/>
    </row>
    <row r="29" spans="1:9" x14ac:dyDescent="0.25">
      <c r="B29" s="3" t="s">
        <v>23</v>
      </c>
      <c r="C29" s="3" t="s">
        <v>5</v>
      </c>
      <c r="D29" s="6">
        <f>F29/F30</f>
        <v>1</v>
      </c>
      <c r="E29" s="3">
        <v>209.94</v>
      </c>
      <c r="F29" s="3">
        <f>'Consolidado (Funil A)'!F5</f>
        <v>62</v>
      </c>
      <c r="G29" s="11">
        <f>F29*E29</f>
        <v>13016.28</v>
      </c>
      <c r="H29" s="3">
        <v>141.27000000000001</v>
      </c>
      <c r="I29" s="11">
        <f>H29*F29</f>
        <v>8758.74</v>
      </c>
    </row>
    <row r="30" spans="1:9" x14ac:dyDescent="0.25">
      <c r="B30" s="4" t="s">
        <v>17</v>
      </c>
      <c r="C30" s="4" t="s">
        <v>5</v>
      </c>
      <c r="D30" s="4" t="s">
        <v>5</v>
      </c>
      <c r="E30" s="4" t="s">
        <v>5</v>
      </c>
      <c r="F30" s="4">
        <f>F29</f>
        <v>62</v>
      </c>
      <c r="G30" s="12">
        <f>G29</f>
        <v>13016.28</v>
      </c>
      <c r="H30" s="12" t="s">
        <v>5</v>
      </c>
      <c r="I30" s="12">
        <f>I29</f>
        <v>8758.74</v>
      </c>
    </row>
    <row r="31" spans="1:9" x14ac:dyDescent="0.25">
      <c r="B31" s="3"/>
      <c r="E31"/>
      <c r="G31"/>
      <c r="H31"/>
      <c r="I31"/>
    </row>
    <row r="32" spans="1:9" x14ac:dyDescent="0.25">
      <c r="B32" s="2" t="s">
        <v>7</v>
      </c>
      <c r="C32" s="2" t="s">
        <v>5</v>
      </c>
      <c r="D32" s="8">
        <f>F32/F30</f>
        <v>0.25806451612903225</v>
      </c>
      <c r="E32" s="2" t="s">
        <v>5</v>
      </c>
      <c r="F32" s="2">
        <f>SUM(F33:F35)</f>
        <v>16</v>
      </c>
      <c r="G32" s="10">
        <f>SUM(G33:G35)</f>
        <v>2158.8000000000002</v>
      </c>
      <c r="H32" s="10"/>
      <c r="I32" s="10">
        <f>SUM(I33:I35)</f>
        <v>1480.56</v>
      </c>
    </row>
    <row r="33" spans="1:9" x14ac:dyDescent="0.25">
      <c r="B33" s="3" t="s">
        <v>30</v>
      </c>
      <c r="C33" s="3" t="s">
        <v>5</v>
      </c>
      <c r="D33" s="6">
        <f>F33/$F$32</f>
        <v>0.75</v>
      </c>
      <c r="E33" s="3">
        <v>119.94</v>
      </c>
      <c r="F33" s="3">
        <v>12</v>
      </c>
      <c r="G33" s="11">
        <f>F33*E33</f>
        <v>1439.28</v>
      </c>
      <c r="H33" s="3">
        <v>83</v>
      </c>
      <c r="I33" s="11">
        <f>H33*F33</f>
        <v>996</v>
      </c>
    </row>
    <row r="34" spans="1:9" x14ac:dyDescent="0.25">
      <c r="B34" s="3" t="s">
        <v>31</v>
      </c>
      <c r="C34" s="3" t="s">
        <v>5</v>
      </c>
      <c r="D34" s="6">
        <f>F34/$F$32</f>
        <v>0.25</v>
      </c>
      <c r="E34" s="3">
        <v>179.88</v>
      </c>
      <c r="F34" s="3">
        <v>4</v>
      </c>
      <c r="G34" s="11">
        <f>F34*E34</f>
        <v>719.52</v>
      </c>
      <c r="H34" s="3">
        <v>121.14</v>
      </c>
      <c r="I34" s="11">
        <f>H34*F34</f>
        <v>484.56</v>
      </c>
    </row>
    <row r="35" spans="1:9" x14ac:dyDescent="0.25">
      <c r="B35" s="3" t="s">
        <v>29</v>
      </c>
      <c r="C35" s="3" t="s">
        <v>5</v>
      </c>
      <c r="D35" s="7">
        <f>F35/$F$32</f>
        <v>0</v>
      </c>
      <c r="E35" s="11">
        <v>99.96</v>
      </c>
      <c r="F35" s="3">
        <v>0</v>
      </c>
      <c r="G35" s="11">
        <f>F35*E35</f>
        <v>0</v>
      </c>
      <c r="H35" s="11">
        <v>70.28</v>
      </c>
      <c r="I35" s="11">
        <f>H35*F35</f>
        <v>0</v>
      </c>
    </row>
    <row r="36" spans="1:9" x14ac:dyDescent="0.25">
      <c r="B36" s="3"/>
      <c r="E36"/>
      <c r="G36"/>
      <c r="H36"/>
      <c r="I36"/>
    </row>
    <row r="37" spans="1:9" x14ac:dyDescent="0.25">
      <c r="B37" s="2" t="s">
        <v>8</v>
      </c>
      <c r="C37" s="2" t="s">
        <v>5</v>
      </c>
      <c r="D37" s="8">
        <f>F37/F30</f>
        <v>0.12903225806451613</v>
      </c>
      <c r="E37" s="2" t="s">
        <v>5</v>
      </c>
      <c r="F37" s="2">
        <f>SUM(F38:F40)</f>
        <v>8</v>
      </c>
      <c r="G37" s="10">
        <f>SUM(G38:G40)</f>
        <v>689.57999999999993</v>
      </c>
      <c r="H37" s="2" t="s">
        <v>5</v>
      </c>
      <c r="I37" s="10">
        <f>SUM(I38:I40)</f>
        <v>468.63</v>
      </c>
    </row>
    <row r="38" spans="1:9" x14ac:dyDescent="0.25">
      <c r="B38" s="3" t="s">
        <v>33</v>
      </c>
      <c r="C38" s="3" t="s">
        <v>5</v>
      </c>
      <c r="D38" s="7">
        <f>F38/$F$37</f>
        <v>0.625</v>
      </c>
      <c r="E38" s="3">
        <v>89.94</v>
      </c>
      <c r="F38" s="3">
        <v>5</v>
      </c>
      <c r="G38" s="11">
        <f>F38*E38</f>
        <v>449.7</v>
      </c>
      <c r="H38" s="3">
        <v>60.54</v>
      </c>
      <c r="I38" s="11">
        <f>H38*F38</f>
        <v>302.7</v>
      </c>
    </row>
    <row r="39" spans="1:9" x14ac:dyDescent="0.25">
      <c r="B39" s="3" t="s">
        <v>34</v>
      </c>
      <c r="C39" s="3" t="s">
        <v>5</v>
      </c>
      <c r="D39" s="7">
        <f>F39/$F$37</f>
        <v>0.375</v>
      </c>
      <c r="E39" s="3">
        <v>79.959999999999994</v>
      </c>
      <c r="F39" s="3">
        <v>3</v>
      </c>
      <c r="G39" s="11">
        <f>F39*E39</f>
        <v>239.88</v>
      </c>
      <c r="H39" s="3">
        <v>55.31</v>
      </c>
      <c r="I39" s="11">
        <f>H39*F39</f>
        <v>165.93</v>
      </c>
    </row>
    <row r="40" spans="1:9" x14ac:dyDescent="0.25">
      <c r="B40" s="3" t="s">
        <v>32</v>
      </c>
      <c r="C40" s="3" t="s">
        <v>5</v>
      </c>
      <c r="D40" s="7">
        <f>F40/$F$37</f>
        <v>0</v>
      </c>
      <c r="E40" s="11">
        <v>119.88</v>
      </c>
      <c r="F40" s="3">
        <v>0</v>
      </c>
      <c r="G40" s="11">
        <f>F40*E40</f>
        <v>0</v>
      </c>
      <c r="H40" s="11">
        <v>76.23</v>
      </c>
      <c r="I40" s="11">
        <f>H40*F40</f>
        <v>0</v>
      </c>
    </row>
    <row r="41" spans="1:9" x14ac:dyDescent="0.25">
      <c r="B41" s="3"/>
      <c r="E41"/>
      <c r="G41"/>
      <c r="H41"/>
      <c r="I41"/>
    </row>
    <row r="42" spans="1:9" x14ac:dyDescent="0.25">
      <c r="B42" s="2" t="s">
        <v>9</v>
      </c>
      <c r="C42" s="2" t="s">
        <v>5</v>
      </c>
      <c r="D42" s="8">
        <f>F42/F30</f>
        <v>1.6129032258064516E-2</v>
      </c>
      <c r="E42" s="2" t="s">
        <v>5</v>
      </c>
      <c r="F42" s="2">
        <f>SUM(F43:F45)</f>
        <v>1</v>
      </c>
      <c r="G42" s="10">
        <f>SUM(G43:G45)</f>
        <v>79.959999999999994</v>
      </c>
      <c r="H42" s="2" t="s">
        <v>5</v>
      </c>
      <c r="I42" s="10">
        <f>SUM(I43:I45)</f>
        <v>55.33</v>
      </c>
    </row>
    <row r="43" spans="1:9" x14ac:dyDescent="0.25">
      <c r="B43" s="3" t="s">
        <v>38</v>
      </c>
      <c r="C43" s="3" t="s">
        <v>5</v>
      </c>
      <c r="D43" s="7">
        <f>F43/$F$30</f>
        <v>0</v>
      </c>
      <c r="E43" s="11">
        <v>119.88</v>
      </c>
      <c r="F43" s="3">
        <v>0</v>
      </c>
      <c r="G43" s="11">
        <f t="shared" ref="G43:G44" si="2">F43*E43</f>
        <v>0</v>
      </c>
      <c r="H43" s="11">
        <v>76.290000000000006</v>
      </c>
      <c r="I43" s="11">
        <f t="shared" ref="I43:I44" si="3">H43*F43</f>
        <v>0</v>
      </c>
    </row>
    <row r="44" spans="1:9" x14ac:dyDescent="0.25">
      <c r="B44" s="3" t="s">
        <v>39</v>
      </c>
      <c r="C44" s="3" t="s">
        <v>5</v>
      </c>
      <c r="D44" s="7">
        <f>F44/$F$30</f>
        <v>0</v>
      </c>
      <c r="E44" s="11">
        <v>89.94</v>
      </c>
      <c r="F44" s="3">
        <v>0</v>
      </c>
      <c r="G44" s="11">
        <f t="shared" si="2"/>
        <v>0</v>
      </c>
      <c r="H44" s="11">
        <v>60.57</v>
      </c>
      <c r="I44" s="11">
        <f t="shared" si="3"/>
        <v>0</v>
      </c>
    </row>
    <row r="45" spans="1:9" x14ac:dyDescent="0.25">
      <c r="B45" s="3" t="s">
        <v>40</v>
      </c>
      <c r="C45" s="3" t="s">
        <v>5</v>
      </c>
      <c r="D45" s="6">
        <f>F45/F42</f>
        <v>1</v>
      </c>
      <c r="E45" s="3">
        <v>79.959999999999994</v>
      </c>
      <c r="F45" s="3">
        <v>1</v>
      </c>
      <c r="G45" s="11">
        <f>F45*E45</f>
        <v>79.959999999999994</v>
      </c>
      <c r="H45" s="3">
        <v>55.33</v>
      </c>
      <c r="I45" s="11">
        <f>H45*F45</f>
        <v>55.33</v>
      </c>
    </row>
    <row r="46" spans="1:9" x14ac:dyDescent="0.25">
      <c r="B46" s="4" t="s">
        <v>10</v>
      </c>
      <c r="C46" s="4" t="s">
        <v>5</v>
      </c>
      <c r="D46" s="4" t="s">
        <v>5</v>
      </c>
      <c r="E46" s="4" t="s">
        <v>5</v>
      </c>
      <c r="F46" s="4">
        <f>SUM(F42,F37,F32)</f>
        <v>25</v>
      </c>
      <c r="G46" s="12">
        <f>SUM(G42,G37,G32)</f>
        <v>2928.34</v>
      </c>
      <c r="H46" s="4" t="s">
        <v>5</v>
      </c>
      <c r="I46" s="12">
        <f>SUM(I42,I37,I32)</f>
        <v>2004.52</v>
      </c>
    </row>
    <row r="47" spans="1:9" x14ac:dyDescent="0.25">
      <c r="B47" s="4"/>
      <c r="C47" s="4"/>
      <c r="D47" s="4"/>
      <c r="E47" s="4"/>
      <c r="F47" s="4"/>
      <c r="G47" s="12"/>
      <c r="H47" s="4"/>
      <c r="I47" s="12"/>
    </row>
    <row r="48" spans="1:9" x14ac:dyDescent="0.25">
      <c r="A48" s="17"/>
      <c r="B48" s="17"/>
      <c r="C48" s="17"/>
      <c r="D48" s="17"/>
      <c r="E48" s="18"/>
      <c r="F48" s="17"/>
      <c r="G48" s="18"/>
      <c r="H48" s="18"/>
      <c r="I48" s="18"/>
    </row>
    <row r="50" spans="2:9" x14ac:dyDescent="0.25">
      <c r="B50" s="20" t="s">
        <v>21</v>
      </c>
      <c r="C50" s="20"/>
      <c r="D50" s="20"/>
      <c r="E50" s="20"/>
      <c r="F50" s="20"/>
      <c r="G50" s="20"/>
      <c r="H50" s="20"/>
      <c r="I50" s="20"/>
    </row>
    <row r="51" spans="2:9" ht="31.5" x14ac:dyDescent="0.25">
      <c r="B51" s="1" t="s">
        <v>0</v>
      </c>
      <c r="C51" s="1"/>
      <c r="D51" s="13" t="s">
        <v>12</v>
      </c>
      <c r="E51" s="14" t="s">
        <v>1</v>
      </c>
      <c r="F51" s="13" t="s">
        <v>2</v>
      </c>
      <c r="G51" s="14" t="s">
        <v>3</v>
      </c>
      <c r="H51" s="14" t="s">
        <v>16</v>
      </c>
      <c r="I51" s="14" t="s">
        <v>4</v>
      </c>
    </row>
    <row r="52" spans="2:9" x14ac:dyDescent="0.25">
      <c r="B52" s="2"/>
      <c r="C52" s="2"/>
      <c r="D52" s="2"/>
      <c r="E52" s="2"/>
      <c r="F52" s="2"/>
      <c r="G52" s="2"/>
      <c r="H52" s="2"/>
      <c r="I52" s="2"/>
    </row>
    <row r="53" spans="2:9" x14ac:dyDescent="0.25">
      <c r="B53" s="3" t="s">
        <v>24</v>
      </c>
      <c r="C53" s="3" t="s">
        <v>5</v>
      </c>
      <c r="D53" s="6">
        <f>F53/F54</f>
        <v>1</v>
      </c>
      <c r="E53" s="3">
        <v>299.88</v>
      </c>
      <c r="F53" s="3">
        <f>'Consolidado (Funil A)'!F6</f>
        <v>399</v>
      </c>
      <c r="G53" s="11">
        <f>F53*E53</f>
        <v>119652.12</v>
      </c>
      <c r="H53" s="3">
        <v>201.84</v>
      </c>
      <c r="I53" s="11">
        <f>H53*F53</f>
        <v>80534.16</v>
      </c>
    </row>
    <row r="54" spans="2:9" x14ac:dyDescent="0.25">
      <c r="B54" s="4" t="s">
        <v>18</v>
      </c>
      <c r="C54" s="4" t="s">
        <v>5</v>
      </c>
      <c r="D54" s="4" t="s">
        <v>5</v>
      </c>
      <c r="E54" s="4" t="s">
        <v>5</v>
      </c>
      <c r="F54" s="4">
        <f>F53</f>
        <v>399</v>
      </c>
      <c r="G54" s="12">
        <f>G53</f>
        <v>119652.12</v>
      </c>
      <c r="H54" s="4" t="s">
        <v>5</v>
      </c>
      <c r="I54" s="12">
        <f>I53</f>
        <v>80534.16</v>
      </c>
    </row>
    <row r="55" spans="2:9" x14ac:dyDescent="0.25">
      <c r="B55" s="3"/>
      <c r="E55"/>
      <c r="G55"/>
      <c r="H55"/>
      <c r="I55"/>
    </row>
    <row r="56" spans="2:9" x14ac:dyDescent="0.25">
      <c r="B56" s="2" t="s">
        <v>7</v>
      </c>
      <c r="C56" s="2" t="s">
        <v>5</v>
      </c>
      <c r="D56" s="8">
        <f>F56/F54</f>
        <v>0.24310776942355888</v>
      </c>
      <c r="E56" s="2" t="s">
        <v>5</v>
      </c>
      <c r="F56" s="2">
        <f>SUM(F57:F59)</f>
        <v>97</v>
      </c>
      <c r="G56" s="10">
        <f>SUM(G57:G59)</f>
        <v>24314.94</v>
      </c>
      <c r="H56" s="2" t="s">
        <v>5</v>
      </c>
      <c r="I56" s="10">
        <f>SUM(I57:I59)</f>
        <v>17560.439999999999</v>
      </c>
    </row>
    <row r="57" spans="2:9" x14ac:dyDescent="0.25">
      <c r="B57" s="3" t="s">
        <v>26</v>
      </c>
      <c r="C57" s="3" t="s">
        <v>5</v>
      </c>
      <c r="D57" s="7">
        <f>F57/$F$56</f>
        <v>0.18556701030927836</v>
      </c>
      <c r="E57" s="3">
        <v>239.88</v>
      </c>
      <c r="F57" s="3">
        <v>18</v>
      </c>
      <c r="G57" s="11">
        <f>F57*E57</f>
        <v>4317.84</v>
      </c>
      <c r="H57" s="3">
        <v>165.99</v>
      </c>
      <c r="I57" s="11">
        <f>H57*F57</f>
        <v>2987.82</v>
      </c>
    </row>
    <row r="58" spans="2:9" x14ac:dyDescent="0.25">
      <c r="B58" s="3" t="s">
        <v>28</v>
      </c>
      <c r="C58" s="3" t="s">
        <v>5</v>
      </c>
      <c r="D58" s="7">
        <f>F58/$F$56</f>
        <v>0.7010309278350515</v>
      </c>
      <c r="E58" s="3">
        <v>269.82</v>
      </c>
      <c r="F58" s="3">
        <v>68</v>
      </c>
      <c r="G58" s="11">
        <f>F58*E58</f>
        <v>18347.759999999998</v>
      </c>
      <c r="H58" s="3">
        <v>197.25</v>
      </c>
      <c r="I58" s="11">
        <f>H58*F58</f>
        <v>13413</v>
      </c>
    </row>
    <row r="59" spans="2:9" x14ac:dyDescent="0.25">
      <c r="B59" s="3" t="s">
        <v>27</v>
      </c>
      <c r="C59" s="3" t="s">
        <v>5</v>
      </c>
      <c r="D59" s="7">
        <f>F59/$F$56</f>
        <v>0.1134020618556701</v>
      </c>
      <c r="E59" s="3">
        <v>149.94</v>
      </c>
      <c r="F59" s="3">
        <v>11</v>
      </c>
      <c r="G59" s="11">
        <f>F59*E59</f>
        <v>1649.34</v>
      </c>
      <c r="H59" s="3">
        <v>105.42</v>
      </c>
      <c r="I59" s="11">
        <f>H59*F59</f>
        <v>1159.6200000000001</v>
      </c>
    </row>
    <row r="60" spans="2:9" x14ac:dyDescent="0.25">
      <c r="B60" s="3"/>
      <c r="E60"/>
      <c r="G60"/>
      <c r="H60"/>
      <c r="I60"/>
    </row>
    <row r="61" spans="2:9" x14ac:dyDescent="0.25">
      <c r="B61" s="2" t="s">
        <v>8</v>
      </c>
      <c r="C61" s="2" t="s">
        <v>5</v>
      </c>
      <c r="D61" s="8">
        <f>F61/F54</f>
        <v>8.771929824561403E-2</v>
      </c>
      <c r="E61" s="2" t="s">
        <v>5</v>
      </c>
      <c r="F61" s="2">
        <f>SUM(F62:F64)</f>
        <v>35</v>
      </c>
      <c r="G61" s="10">
        <f>SUM(G62:G64)</f>
        <v>5336.76</v>
      </c>
      <c r="H61" s="2" t="s">
        <v>5</v>
      </c>
      <c r="I61" s="10">
        <f>SUM(I62:I64)</f>
        <v>3628</v>
      </c>
    </row>
    <row r="62" spans="2:9" x14ac:dyDescent="0.25">
      <c r="B62" s="3" t="s">
        <v>35</v>
      </c>
      <c r="C62" s="3" t="s">
        <v>5</v>
      </c>
      <c r="D62" s="7">
        <f>F62/$F$61</f>
        <v>0.22857142857142856</v>
      </c>
      <c r="E62" s="3">
        <v>119.94</v>
      </c>
      <c r="F62" s="3">
        <v>8</v>
      </c>
      <c r="G62" s="11">
        <f>F62*E62</f>
        <v>959.52</v>
      </c>
      <c r="H62" s="3">
        <v>82.97</v>
      </c>
      <c r="I62" s="11">
        <f>H62*F62</f>
        <v>663.76</v>
      </c>
    </row>
    <row r="63" spans="2:9" x14ac:dyDescent="0.25">
      <c r="B63" s="3" t="s">
        <v>36</v>
      </c>
      <c r="C63" s="3" t="s">
        <v>5</v>
      </c>
      <c r="D63" s="7">
        <f>F63/$F$61</f>
        <v>0.17142857142857143</v>
      </c>
      <c r="E63" s="3">
        <v>99.96</v>
      </c>
      <c r="F63" s="3">
        <v>6</v>
      </c>
      <c r="G63" s="11">
        <f>F63*E63</f>
        <v>599.76</v>
      </c>
      <c r="H63" s="3">
        <v>70.260000000000005</v>
      </c>
      <c r="I63" s="11">
        <f>H63*F63</f>
        <v>421.56000000000006</v>
      </c>
    </row>
    <row r="64" spans="2:9" x14ac:dyDescent="0.25">
      <c r="B64" s="3" t="s">
        <v>37</v>
      </c>
      <c r="C64" s="3" t="s">
        <v>5</v>
      </c>
      <c r="D64" s="7">
        <f>F64/$F$61</f>
        <v>0.6</v>
      </c>
      <c r="E64" s="3">
        <v>179.88</v>
      </c>
      <c r="F64" s="3">
        <v>21</v>
      </c>
      <c r="G64" s="11">
        <f>F64*E64</f>
        <v>3777.48</v>
      </c>
      <c r="H64" s="3">
        <v>121.08</v>
      </c>
      <c r="I64" s="11">
        <f>H64*F64</f>
        <v>2542.6799999999998</v>
      </c>
    </row>
    <row r="65" spans="2:9" x14ac:dyDescent="0.25">
      <c r="B65" s="3"/>
      <c r="E65"/>
      <c r="G65"/>
      <c r="H65"/>
      <c r="I65"/>
    </row>
    <row r="66" spans="2:9" x14ac:dyDescent="0.25">
      <c r="B66" s="2" t="s">
        <v>9</v>
      </c>
      <c r="C66" s="2" t="s">
        <v>5</v>
      </c>
      <c r="D66" s="8">
        <f>F66/F54</f>
        <v>6.0150375939849621E-2</v>
      </c>
      <c r="E66" s="2" t="s">
        <v>5</v>
      </c>
      <c r="F66" s="2">
        <f>SUM(F67:F69)</f>
        <v>24</v>
      </c>
      <c r="G66" s="10">
        <f>SUM(G67:G69)</f>
        <v>3677.76</v>
      </c>
      <c r="H66" s="2" t="s">
        <v>5</v>
      </c>
      <c r="I66" s="10">
        <f>SUM(I67:I69)</f>
        <v>2500.5</v>
      </c>
    </row>
    <row r="67" spans="2:9" x14ac:dyDescent="0.25">
      <c r="B67" s="3" t="s">
        <v>42</v>
      </c>
      <c r="C67" s="3" t="s">
        <v>5</v>
      </c>
      <c r="D67" s="7">
        <f>F67/$F$66</f>
        <v>0.20833333333333334</v>
      </c>
      <c r="E67" s="3">
        <v>99.96</v>
      </c>
      <c r="F67" s="3">
        <v>5</v>
      </c>
      <c r="G67" s="11">
        <f>F67*E67</f>
        <v>499.79999999999995</v>
      </c>
      <c r="H67" s="3">
        <v>70.28</v>
      </c>
      <c r="I67" s="11">
        <f>H67*F67</f>
        <v>351.4</v>
      </c>
    </row>
    <row r="68" spans="2:9" x14ac:dyDescent="0.25">
      <c r="B68" s="3" t="s">
        <v>43</v>
      </c>
      <c r="C68" s="3" t="s">
        <v>5</v>
      </c>
      <c r="D68" s="7">
        <f>F68/$F$66</f>
        <v>0.625</v>
      </c>
      <c r="E68" s="3">
        <v>179.88</v>
      </c>
      <c r="F68" s="3">
        <v>15</v>
      </c>
      <c r="G68" s="11">
        <f>F68*E68</f>
        <v>2698.2</v>
      </c>
      <c r="H68" s="3">
        <v>121.14</v>
      </c>
      <c r="I68" s="11">
        <f>H68*F68</f>
        <v>1817.1</v>
      </c>
    </row>
    <row r="69" spans="2:9" x14ac:dyDescent="0.25">
      <c r="B69" s="3" t="s">
        <v>41</v>
      </c>
      <c r="C69" s="3" t="s">
        <v>5</v>
      </c>
      <c r="D69" s="7">
        <f>F69/$F$66</f>
        <v>0.16666666666666666</v>
      </c>
      <c r="E69" s="3">
        <v>119.94</v>
      </c>
      <c r="F69" s="3">
        <v>4</v>
      </c>
      <c r="G69" s="11">
        <f>F69*E69</f>
        <v>479.76</v>
      </c>
      <c r="H69" s="3">
        <v>83</v>
      </c>
      <c r="I69" s="11">
        <f>H69*F69</f>
        <v>332</v>
      </c>
    </row>
    <row r="70" spans="2:9" x14ac:dyDescent="0.25">
      <c r="B70" s="4" t="s">
        <v>10</v>
      </c>
      <c r="C70" s="4" t="s">
        <v>5</v>
      </c>
      <c r="D70" s="4" t="s">
        <v>5</v>
      </c>
      <c r="E70" s="4" t="s">
        <v>5</v>
      </c>
      <c r="F70" s="4">
        <f>SUM(F66,F61,F56)</f>
        <v>156</v>
      </c>
      <c r="G70" s="12">
        <f>SUM(G66,G61,G56)</f>
        <v>33329.46</v>
      </c>
      <c r="H70" s="4" t="s">
        <v>5</v>
      </c>
      <c r="I70" s="12">
        <f>SUM(I66,I61,I56)</f>
        <v>23688.94</v>
      </c>
    </row>
  </sheetData>
  <mergeCells count="3">
    <mergeCell ref="B2:I2"/>
    <mergeCell ref="B26:I26"/>
    <mergeCell ref="B50:I50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227C5-8921-8144-9DFE-3A1EDDD59C8A}">
  <dimension ref="B1:J21"/>
  <sheetViews>
    <sheetView zoomScaleNormal="100" workbookViewId="0">
      <selection activeCell="I6" sqref="I6"/>
    </sheetView>
  </sheetViews>
  <sheetFormatPr defaultColWidth="11" defaultRowHeight="15.75" x14ac:dyDescent="0.25"/>
  <cols>
    <col min="1" max="1" width="3.5" customWidth="1"/>
    <col min="2" max="2" width="32.875" bestFit="1" customWidth="1"/>
    <col min="5" max="5" width="10.875" style="9"/>
    <col min="7" max="7" width="13.5" style="9" bestFit="1" customWidth="1"/>
    <col min="8" max="8" width="11.875" style="9" customWidth="1"/>
    <col min="9" max="9" width="15.125" style="9" bestFit="1" customWidth="1"/>
  </cols>
  <sheetData>
    <row r="1" spans="2:10" x14ac:dyDescent="0.25">
      <c r="B1" t="s">
        <v>22</v>
      </c>
    </row>
    <row r="2" spans="2:10" x14ac:dyDescent="0.25">
      <c r="B2" t="s">
        <v>14</v>
      </c>
    </row>
    <row r="3" spans="2:10" s="15" customFormat="1" ht="39" customHeight="1" x14ac:dyDescent="0.25">
      <c r="B3" s="13" t="s">
        <v>0</v>
      </c>
      <c r="C3" s="13"/>
      <c r="D3" s="13" t="s">
        <v>12</v>
      </c>
      <c r="E3" s="14" t="s">
        <v>1</v>
      </c>
      <c r="F3" s="13" t="s">
        <v>2</v>
      </c>
      <c r="G3" s="14" t="s">
        <v>3</v>
      </c>
      <c r="H3" s="14" t="s">
        <v>16</v>
      </c>
      <c r="I3" s="14" t="s">
        <v>4</v>
      </c>
    </row>
    <row r="4" spans="2:10" x14ac:dyDescent="0.25">
      <c r="B4" s="2"/>
      <c r="C4" s="2"/>
      <c r="D4" s="2"/>
      <c r="E4" s="10"/>
      <c r="F4" s="2"/>
      <c r="G4" s="10"/>
      <c r="H4" s="10"/>
      <c r="I4" s="10"/>
    </row>
    <row r="5" spans="2:10" x14ac:dyDescent="0.25">
      <c r="B5" s="3" t="s">
        <v>23</v>
      </c>
      <c r="C5" s="3" t="s">
        <v>5</v>
      </c>
      <c r="D5" s="7">
        <f>F5/$F$8</f>
        <v>0.29471890971039183</v>
      </c>
      <c r="E5" s="11">
        <v>209.94</v>
      </c>
      <c r="F5" s="16">
        <v>173</v>
      </c>
      <c r="G5" s="11">
        <f>F5*E5</f>
        <v>36319.620000000003</v>
      </c>
      <c r="H5" s="11">
        <v>141.27000000000001</v>
      </c>
      <c r="I5" s="11">
        <f>H5*F5</f>
        <v>24439.710000000003</v>
      </c>
    </row>
    <row r="6" spans="2:10" x14ac:dyDescent="0.25">
      <c r="B6" s="3" t="s">
        <v>24</v>
      </c>
      <c r="C6" s="3" t="s">
        <v>5</v>
      </c>
      <c r="D6" s="7">
        <f>F6/$F$8</f>
        <v>0.59965928449744466</v>
      </c>
      <c r="E6" s="11">
        <v>299.88</v>
      </c>
      <c r="F6" s="16">
        <v>352</v>
      </c>
      <c r="G6" s="11">
        <f t="shared" ref="G6:G7" si="0">F6*E6</f>
        <v>105557.75999999999</v>
      </c>
      <c r="H6" s="11">
        <v>201.84</v>
      </c>
      <c r="I6" s="11">
        <f t="shared" ref="I6:I7" si="1">H6*F6</f>
        <v>71047.680000000008</v>
      </c>
      <c r="J6" s="9"/>
    </row>
    <row r="7" spans="2:10" x14ac:dyDescent="0.25">
      <c r="B7" s="3" t="s">
        <v>25</v>
      </c>
      <c r="C7" s="3" t="s">
        <v>5</v>
      </c>
      <c r="D7" s="7">
        <f>F7/$F$8</f>
        <v>0.10562180579216354</v>
      </c>
      <c r="E7" s="11">
        <v>159.96</v>
      </c>
      <c r="F7" s="3">
        <v>62</v>
      </c>
      <c r="G7" s="11">
        <f t="shared" si="0"/>
        <v>9917.52</v>
      </c>
      <c r="H7" s="11">
        <v>106.13</v>
      </c>
      <c r="I7" s="11">
        <f t="shared" si="1"/>
        <v>6580.0599999999995</v>
      </c>
    </row>
    <row r="8" spans="2:10" x14ac:dyDescent="0.25">
      <c r="B8" s="4" t="s">
        <v>6</v>
      </c>
      <c r="C8" s="4" t="s">
        <v>5</v>
      </c>
      <c r="D8" s="4" t="s">
        <v>5</v>
      </c>
      <c r="E8" s="12" t="s">
        <v>5</v>
      </c>
      <c r="F8" s="4">
        <f>SUM(F5:F7)</f>
        <v>587</v>
      </c>
      <c r="G8" s="12">
        <f>SUM(G5:G7)</f>
        <v>151794.9</v>
      </c>
      <c r="H8" s="12" t="s">
        <v>5</v>
      </c>
      <c r="I8" s="12">
        <f>SUM(I5:I7)</f>
        <v>102067.45000000001</v>
      </c>
    </row>
    <row r="9" spans="2:10" x14ac:dyDescent="0.25">
      <c r="B9" s="3"/>
    </row>
    <row r="10" spans="2:10" x14ac:dyDescent="0.25">
      <c r="B10" s="2" t="s">
        <v>7</v>
      </c>
      <c r="C10" s="2" t="s">
        <v>5</v>
      </c>
      <c r="D10" s="8">
        <f>F10/F8</f>
        <v>0.20102214650766609</v>
      </c>
      <c r="E10" s="10" t="s">
        <v>5</v>
      </c>
      <c r="F10" s="2">
        <f>SUM(F11:F12)</f>
        <v>118</v>
      </c>
      <c r="G10" s="10">
        <f>SUM(G11:G12)</f>
        <v>34339.199999999997</v>
      </c>
      <c r="H10" s="10" t="s">
        <v>5</v>
      </c>
      <c r="I10" s="10">
        <f>SUM(I11:I12)</f>
        <v>24131.1</v>
      </c>
    </row>
    <row r="11" spans="2:10" x14ac:dyDescent="0.25">
      <c r="B11" s="3" t="s">
        <v>44</v>
      </c>
      <c r="C11" s="3" t="s">
        <v>5</v>
      </c>
      <c r="D11" s="7">
        <f>F11/$F$10</f>
        <v>0.66101694915254239</v>
      </c>
      <c r="E11" s="11">
        <v>348</v>
      </c>
      <c r="F11" s="16">
        <v>78</v>
      </c>
      <c r="G11" s="11">
        <f t="shared" ref="G11:G12" si="2">F11*E11</f>
        <v>27144</v>
      </c>
      <c r="H11" s="11">
        <v>247.25</v>
      </c>
      <c r="I11" s="11">
        <f t="shared" ref="I11:I12" si="3">H11*F11</f>
        <v>19285.5</v>
      </c>
    </row>
    <row r="12" spans="2:10" x14ac:dyDescent="0.25">
      <c r="B12" s="3" t="s">
        <v>31</v>
      </c>
      <c r="C12" s="3" t="s">
        <v>5</v>
      </c>
      <c r="D12" s="7">
        <f>F12/$F$10</f>
        <v>0.33898305084745761</v>
      </c>
      <c r="E12" s="11">
        <v>179.88</v>
      </c>
      <c r="F12" s="16">
        <v>40</v>
      </c>
      <c r="G12" s="11">
        <f t="shared" si="2"/>
        <v>7195.2</v>
      </c>
      <c r="H12" s="11">
        <v>121.14</v>
      </c>
      <c r="I12" s="11">
        <f t="shared" si="3"/>
        <v>4845.6000000000004</v>
      </c>
    </row>
    <row r="13" spans="2:10" x14ac:dyDescent="0.25">
      <c r="B13" s="3"/>
    </row>
    <row r="14" spans="2:10" x14ac:dyDescent="0.25">
      <c r="B14" s="2" t="s">
        <v>8</v>
      </c>
      <c r="C14" s="2" t="s">
        <v>5</v>
      </c>
      <c r="D14" s="8">
        <f>F14/F8</f>
        <v>6.3032367972742753E-2</v>
      </c>
      <c r="E14" s="10" t="s">
        <v>5</v>
      </c>
      <c r="F14" s="2">
        <f>SUM(F15:F16)</f>
        <v>37</v>
      </c>
      <c r="G14" s="10">
        <f>SUM(G15:G16)</f>
        <v>6355.5599999999995</v>
      </c>
      <c r="H14" s="10" t="s">
        <v>5</v>
      </c>
      <c r="I14" s="10">
        <f>SUM(I15:I16)</f>
        <v>4255.71</v>
      </c>
    </row>
    <row r="15" spans="2:10" x14ac:dyDescent="0.25">
      <c r="B15" s="3" t="s">
        <v>32</v>
      </c>
      <c r="C15" s="3" t="s">
        <v>5</v>
      </c>
      <c r="D15" s="7">
        <f>F15/$F$14</f>
        <v>0.13513513513513514</v>
      </c>
      <c r="E15" s="11">
        <v>119.88</v>
      </c>
      <c r="F15" s="3">
        <v>5</v>
      </c>
      <c r="G15" s="11">
        <f t="shared" ref="G15:G16" si="4">F15*E15</f>
        <v>599.4</v>
      </c>
      <c r="H15" s="11">
        <v>76.23</v>
      </c>
      <c r="I15" s="11">
        <f t="shared" ref="I15:I16" si="5">H15*F15</f>
        <v>381.15000000000003</v>
      </c>
    </row>
    <row r="16" spans="2:10" x14ac:dyDescent="0.25">
      <c r="B16" s="3" t="s">
        <v>37</v>
      </c>
      <c r="C16" s="3" t="s">
        <v>5</v>
      </c>
      <c r="D16" s="7">
        <f>F16/$F$14</f>
        <v>0.86486486486486491</v>
      </c>
      <c r="E16" s="11">
        <v>179.88</v>
      </c>
      <c r="F16" s="3">
        <v>32</v>
      </c>
      <c r="G16" s="11">
        <f t="shared" si="4"/>
        <v>5756.16</v>
      </c>
      <c r="H16" s="11">
        <v>121.08</v>
      </c>
      <c r="I16" s="11">
        <f t="shared" si="5"/>
        <v>3874.56</v>
      </c>
    </row>
    <row r="17" spans="2:9" x14ac:dyDescent="0.25">
      <c r="B17" s="3"/>
    </row>
    <row r="18" spans="2:9" x14ac:dyDescent="0.25">
      <c r="B18" s="2" t="s">
        <v>9</v>
      </c>
      <c r="C18" s="2" t="s">
        <v>5</v>
      </c>
      <c r="D18" s="8">
        <f>F18/F8</f>
        <v>3.7478705281090291E-2</v>
      </c>
      <c r="E18" s="10" t="s">
        <v>5</v>
      </c>
      <c r="F18" s="2">
        <f>SUM(F19:F20)</f>
        <v>22</v>
      </c>
      <c r="G18" s="10">
        <f>SUM(G19:G20)</f>
        <v>3777.3599999999997</v>
      </c>
      <c r="H18" s="10" t="s">
        <v>5</v>
      </c>
      <c r="I18" s="10">
        <f>SUM(I19:I20)</f>
        <v>2530.5299999999997</v>
      </c>
    </row>
    <row r="19" spans="2:9" x14ac:dyDescent="0.25">
      <c r="B19" s="3" t="s">
        <v>38</v>
      </c>
      <c r="C19" s="3" t="s">
        <v>5</v>
      </c>
      <c r="D19" s="7">
        <f>F19/$F$18</f>
        <v>0.13636363636363635</v>
      </c>
      <c r="E19" s="11">
        <v>119.88</v>
      </c>
      <c r="F19" s="3">
        <v>3</v>
      </c>
      <c r="G19" s="11">
        <f t="shared" ref="G19:G20" si="6">F19*E19</f>
        <v>359.64</v>
      </c>
      <c r="H19" s="11">
        <v>76.290000000000006</v>
      </c>
      <c r="I19" s="11">
        <f t="shared" ref="I19:I20" si="7">H19*F19</f>
        <v>228.87</v>
      </c>
    </row>
    <row r="20" spans="2:9" x14ac:dyDescent="0.25">
      <c r="B20" s="3" t="s">
        <v>43</v>
      </c>
      <c r="C20" s="3" t="s">
        <v>5</v>
      </c>
      <c r="D20" s="7">
        <f>F20/$F$18</f>
        <v>0.86363636363636365</v>
      </c>
      <c r="E20" s="11">
        <v>179.88</v>
      </c>
      <c r="F20" s="3">
        <v>19</v>
      </c>
      <c r="G20" s="11">
        <f t="shared" si="6"/>
        <v>3417.72</v>
      </c>
      <c r="H20" s="11">
        <v>121.14</v>
      </c>
      <c r="I20" s="11">
        <f t="shared" si="7"/>
        <v>2301.66</v>
      </c>
    </row>
    <row r="21" spans="2:9" x14ac:dyDescent="0.25">
      <c r="B21" s="4" t="s">
        <v>13</v>
      </c>
      <c r="C21" s="4" t="s">
        <v>5</v>
      </c>
      <c r="D21" s="4" t="s">
        <v>5</v>
      </c>
      <c r="E21" s="12" t="s">
        <v>5</v>
      </c>
      <c r="F21" s="4">
        <f>SUM(F18,F14,F10)</f>
        <v>177</v>
      </c>
      <c r="G21" s="12">
        <f>SUM(G10,G14,G18)</f>
        <v>44472.119999999995</v>
      </c>
      <c r="H21" s="12" t="s">
        <v>5</v>
      </c>
      <c r="I21" s="12">
        <f>SUM(I10,I14,I18)</f>
        <v>30917.339999999997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5547D-E7C8-9D4F-935E-638D36BB524A}">
  <dimension ref="A2:O52"/>
  <sheetViews>
    <sheetView zoomScale="70" zoomScaleNormal="70" workbookViewId="0">
      <selection activeCell="F42" sqref="F42"/>
    </sheetView>
  </sheetViews>
  <sheetFormatPr defaultColWidth="11" defaultRowHeight="15.75" x14ac:dyDescent="0.25"/>
  <cols>
    <col min="1" max="1" width="3.5" customWidth="1"/>
    <col min="2" max="2" width="32.875" bestFit="1" customWidth="1"/>
    <col min="5" max="5" width="10.875" style="9"/>
    <col min="7" max="7" width="13.5" style="9" bestFit="1" customWidth="1"/>
    <col min="8" max="8" width="11.875" style="9" customWidth="1"/>
    <col min="9" max="9" width="15.125" style="9" bestFit="1" customWidth="1"/>
  </cols>
  <sheetData>
    <row r="2" spans="2:15" x14ac:dyDescent="0.25">
      <c r="B2" s="20" t="s">
        <v>19</v>
      </c>
      <c r="C2" s="20"/>
      <c r="D2" s="20"/>
      <c r="E2" s="20"/>
      <c r="F2" s="20"/>
      <c r="G2" s="20"/>
      <c r="H2" s="20"/>
      <c r="I2" s="20"/>
    </row>
    <row r="3" spans="2:15" s="15" customFormat="1" ht="39" customHeight="1" x14ac:dyDescent="0.25">
      <c r="B3" s="13" t="s">
        <v>0</v>
      </c>
      <c r="C3" s="13"/>
      <c r="D3" s="13" t="s">
        <v>12</v>
      </c>
      <c r="E3" s="14" t="s">
        <v>1</v>
      </c>
      <c r="F3" s="13" t="s">
        <v>2</v>
      </c>
      <c r="G3" s="14" t="s">
        <v>3</v>
      </c>
      <c r="H3" s="14" t="s">
        <v>16</v>
      </c>
      <c r="I3" s="14" t="s">
        <v>4</v>
      </c>
    </row>
    <row r="4" spans="2:15" x14ac:dyDescent="0.25">
      <c r="B4" s="2"/>
      <c r="C4" s="2"/>
      <c r="D4" s="2"/>
      <c r="E4" s="10"/>
      <c r="F4" s="2"/>
      <c r="G4" s="10"/>
      <c r="H4" s="10"/>
      <c r="I4" s="10"/>
    </row>
    <row r="5" spans="2:15" x14ac:dyDescent="0.25">
      <c r="B5" s="3" t="s">
        <v>25</v>
      </c>
      <c r="C5" s="3" t="s">
        <v>5</v>
      </c>
      <c r="D5" s="7">
        <f>F5/$F$6</f>
        <v>1</v>
      </c>
      <c r="E5" s="11">
        <v>159.96</v>
      </c>
      <c r="F5" s="3">
        <f>'Consolidado (Funil B)'!F7</f>
        <v>62</v>
      </c>
      <c r="G5" s="11">
        <f t="shared" ref="G5" si="0">F5*E5</f>
        <v>9917.52</v>
      </c>
      <c r="H5" s="11">
        <v>106.13</v>
      </c>
      <c r="I5" s="11">
        <f t="shared" ref="I5" si="1">H5*F5</f>
        <v>6580.0599999999995</v>
      </c>
      <c r="M5" s="9"/>
      <c r="N5" s="5"/>
      <c r="O5" s="9"/>
    </row>
    <row r="6" spans="2:15" x14ac:dyDescent="0.25">
      <c r="B6" s="4" t="s">
        <v>15</v>
      </c>
      <c r="C6" s="4" t="s">
        <v>5</v>
      </c>
      <c r="D6" s="4" t="s">
        <v>5</v>
      </c>
      <c r="E6" s="12" t="s">
        <v>5</v>
      </c>
      <c r="F6" s="4">
        <f>SUM(F5:F5)</f>
        <v>62</v>
      </c>
      <c r="G6" s="12">
        <f>SUM(G5:G5)</f>
        <v>9917.52</v>
      </c>
      <c r="H6" s="12" t="s">
        <v>5</v>
      </c>
      <c r="I6" s="12">
        <f>SUM(I5:I5)</f>
        <v>6580.0599999999995</v>
      </c>
      <c r="M6" s="9"/>
      <c r="N6" s="5"/>
      <c r="O6" s="9"/>
    </row>
    <row r="7" spans="2:15" x14ac:dyDescent="0.25">
      <c r="B7" s="3"/>
      <c r="M7" s="9"/>
      <c r="N7" s="5"/>
      <c r="O7" s="9"/>
    </row>
    <row r="8" spans="2:15" x14ac:dyDescent="0.25">
      <c r="B8" s="2" t="s">
        <v>7</v>
      </c>
      <c r="C8" s="2" t="s">
        <v>5</v>
      </c>
      <c r="D8" s="8">
        <f>F8/F6</f>
        <v>0.11290322580645161</v>
      </c>
      <c r="E8" s="10" t="s">
        <v>5</v>
      </c>
      <c r="F8" s="2">
        <f>SUM(F9:F9)</f>
        <v>7</v>
      </c>
      <c r="G8" s="10">
        <f>SUM(G9:G9)</f>
        <v>1259.1599999999999</v>
      </c>
      <c r="H8" s="10" t="s">
        <v>5</v>
      </c>
      <c r="I8" s="10">
        <f>SUM(I9:I9)</f>
        <v>847.98</v>
      </c>
      <c r="O8" s="9"/>
    </row>
    <row r="9" spans="2:15" x14ac:dyDescent="0.25">
      <c r="B9" s="3" t="s">
        <v>31</v>
      </c>
      <c r="C9" s="3" t="s">
        <v>5</v>
      </c>
      <c r="D9" s="7">
        <f>F9/$F$8</f>
        <v>1</v>
      </c>
      <c r="E9" s="11">
        <v>179.88</v>
      </c>
      <c r="F9" s="3">
        <v>7</v>
      </c>
      <c r="G9" s="11">
        <f t="shared" ref="G9" si="2">F9*E9</f>
        <v>1259.1599999999999</v>
      </c>
      <c r="H9" s="11">
        <v>121.14</v>
      </c>
      <c r="I9" s="11">
        <f t="shared" ref="I9" si="3">H9*F9</f>
        <v>847.98</v>
      </c>
    </row>
    <row r="10" spans="2:15" x14ac:dyDescent="0.25">
      <c r="B10" s="3"/>
    </row>
    <row r="11" spans="2:15" x14ac:dyDescent="0.25">
      <c r="B11" s="2" t="s">
        <v>8</v>
      </c>
      <c r="C11" s="2" t="s">
        <v>5</v>
      </c>
      <c r="D11" s="8">
        <f>F11/F6</f>
        <v>1.6129032258064516E-2</v>
      </c>
      <c r="E11" s="10" t="s">
        <v>5</v>
      </c>
      <c r="F11" s="2">
        <f>SUM(F12:F12)</f>
        <v>1</v>
      </c>
      <c r="G11" s="10">
        <f>SUM(G12:G12)</f>
        <v>119.88</v>
      </c>
      <c r="H11" s="10" t="s">
        <v>5</v>
      </c>
      <c r="I11" s="10">
        <f>SUM(I12:I12)</f>
        <v>76.23</v>
      </c>
    </row>
    <row r="12" spans="2:15" x14ac:dyDescent="0.25">
      <c r="B12" s="3" t="s">
        <v>32</v>
      </c>
      <c r="C12" s="3" t="s">
        <v>5</v>
      </c>
      <c r="D12" s="7">
        <f>F12/$F$11</f>
        <v>1</v>
      </c>
      <c r="E12" s="11">
        <v>119.88</v>
      </c>
      <c r="F12" s="3">
        <v>1</v>
      </c>
      <c r="G12" s="11">
        <f t="shared" ref="G12" si="4">F12*E12</f>
        <v>119.88</v>
      </c>
      <c r="H12" s="11">
        <v>76.23</v>
      </c>
      <c r="I12" s="11">
        <f t="shared" ref="I12" si="5">H12*F12</f>
        <v>76.23</v>
      </c>
    </row>
    <row r="13" spans="2:15" x14ac:dyDescent="0.25">
      <c r="B13" s="3"/>
    </row>
    <row r="14" spans="2:15" x14ac:dyDescent="0.25">
      <c r="B14" s="2" t="s">
        <v>9</v>
      </c>
      <c r="C14" s="2" t="s">
        <v>5</v>
      </c>
      <c r="D14" s="8">
        <f>F14/F6</f>
        <v>1.6129032258064516E-2</v>
      </c>
      <c r="E14" s="10" t="s">
        <v>5</v>
      </c>
      <c r="F14" s="2">
        <f>SUM(F15:F15)</f>
        <v>1</v>
      </c>
      <c r="G14" s="10">
        <f>SUM(G15:G15)</f>
        <v>119.88</v>
      </c>
      <c r="H14" s="10" t="s">
        <v>5</v>
      </c>
      <c r="I14" s="10">
        <f>I15</f>
        <v>76.290000000000006</v>
      </c>
    </row>
    <row r="15" spans="2:15" x14ac:dyDescent="0.25">
      <c r="B15" s="3" t="s">
        <v>38</v>
      </c>
      <c r="C15" s="3" t="s">
        <v>5</v>
      </c>
      <c r="D15" s="7">
        <f>F15/$F$14</f>
        <v>1</v>
      </c>
      <c r="E15" s="11">
        <v>119.88</v>
      </c>
      <c r="F15" s="3">
        <v>1</v>
      </c>
      <c r="G15" s="11">
        <f t="shared" ref="G15" si="6">F15*E15</f>
        <v>119.88</v>
      </c>
      <c r="H15" s="11">
        <v>76.290000000000006</v>
      </c>
      <c r="I15" s="11">
        <f t="shared" ref="I15" si="7">H15*F15</f>
        <v>76.290000000000006</v>
      </c>
    </row>
    <row r="16" spans="2:15" x14ac:dyDescent="0.25">
      <c r="B16" s="4" t="s">
        <v>13</v>
      </c>
      <c r="C16" s="4" t="s">
        <v>5</v>
      </c>
      <c r="D16" s="4" t="s">
        <v>5</v>
      </c>
      <c r="E16" s="12" t="s">
        <v>5</v>
      </c>
      <c r="F16" s="4">
        <f>SUM(F14,F11,F8)</f>
        <v>9</v>
      </c>
      <c r="G16" s="12">
        <f>SUM(G8,G11,G14)</f>
        <v>1498.92</v>
      </c>
      <c r="H16" s="12" t="s">
        <v>5</v>
      </c>
      <c r="I16" s="12">
        <f>SUM(I8,I11,I14)</f>
        <v>1000.5</v>
      </c>
    </row>
    <row r="18" spans="1:9" x14ac:dyDescent="0.25">
      <c r="A18" s="17"/>
      <c r="B18" s="17"/>
      <c r="C18" s="17"/>
      <c r="D18" s="17"/>
      <c r="E18" s="18"/>
      <c r="F18" s="17"/>
      <c r="G18" s="18"/>
      <c r="H18" s="18"/>
      <c r="I18" s="18"/>
    </row>
    <row r="20" spans="1:9" x14ac:dyDescent="0.25">
      <c r="B20" s="20" t="s">
        <v>20</v>
      </c>
      <c r="C20" s="20"/>
      <c r="D20" s="20"/>
      <c r="E20" s="20"/>
      <c r="F20" s="20"/>
      <c r="G20" s="20"/>
      <c r="H20" s="20"/>
      <c r="I20" s="20"/>
    </row>
    <row r="21" spans="1:9" ht="31.5" x14ac:dyDescent="0.25">
      <c r="B21" s="13" t="s">
        <v>0</v>
      </c>
      <c r="C21" s="13"/>
      <c r="D21" s="13" t="s">
        <v>12</v>
      </c>
      <c r="E21" s="14" t="s">
        <v>1</v>
      </c>
      <c r="F21" s="13" t="s">
        <v>2</v>
      </c>
      <c r="G21" s="14" t="s">
        <v>3</v>
      </c>
      <c r="H21" s="14" t="s">
        <v>16</v>
      </c>
      <c r="I21" s="14" t="s">
        <v>4</v>
      </c>
    </row>
    <row r="22" spans="1:9" x14ac:dyDescent="0.25">
      <c r="B22" s="2"/>
      <c r="C22" s="2"/>
      <c r="D22" s="2"/>
      <c r="E22" s="10"/>
      <c r="F22" s="2"/>
      <c r="G22" s="10"/>
      <c r="H22" s="10"/>
      <c r="I22" s="10"/>
    </row>
    <row r="23" spans="1:9" x14ac:dyDescent="0.25">
      <c r="B23" s="3" t="s">
        <v>23</v>
      </c>
      <c r="C23" s="3" t="s">
        <v>5</v>
      </c>
      <c r="D23" s="7">
        <f>F23/$F$24</f>
        <v>1</v>
      </c>
      <c r="E23" s="11">
        <v>209.94</v>
      </c>
      <c r="F23" s="3">
        <f>'Consolidado (Funil B)'!F5</f>
        <v>173</v>
      </c>
      <c r="G23" s="11">
        <f>F23*E23</f>
        <v>36319.620000000003</v>
      </c>
      <c r="H23" s="11">
        <v>141.27000000000001</v>
      </c>
      <c r="I23" s="11">
        <f>H23*F23</f>
        <v>24439.710000000003</v>
      </c>
    </row>
    <row r="24" spans="1:9" x14ac:dyDescent="0.25">
      <c r="B24" s="4" t="s">
        <v>17</v>
      </c>
      <c r="C24" s="4" t="s">
        <v>5</v>
      </c>
      <c r="D24" s="4" t="s">
        <v>5</v>
      </c>
      <c r="E24" s="12" t="s">
        <v>5</v>
      </c>
      <c r="F24" s="4">
        <f>SUM(F23:F23)</f>
        <v>173</v>
      </c>
      <c r="G24" s="12">
        <f>SUM(G23:G23)</f>
        <v>36319.620000000003</v>
      </c>
      <c r="H24" s="12" t="s">
        <v>5</v>
      </c>
      <c r="I24" s="12">
        <f>SUM(I23:I23)</f>
        <v>24439.710000000003</v>
      </c>
    </row>
    <row r="25" spans="1:9" x14ac:dyDescent="0.25">
      <c r="B25" s="3"/>
    </row>
    <row r="26" spans="1:9" x14ac:dyDescent="0.25">
      <c r="B26" s="2" t="s">
        <v>7</v>
      </c>
      <c r="C26" s="2" t="s">
        <v>5</v>
      </c>
      <c r="D26" s="8">
        <f>F26/F24</f>
        <v>0.19075144508670519</v>
      </c>
      <c r="E26" s="10" t="s">
        <v>5</v>
      </c>
      <c r="F26" s="2">
        <f>SUM(F27:F27)</f>
        <v>33</v>
      </c>
      <c r="G26" s="10">
        <f>SUM(G27:G27)</f>
        <v>5936.04</v>
      </c>
      <c r="H26" s="10" t="s">
        <v>5</v>
      </c>
      <c r="I26" s="10">
        <f>SUM(I27:I27)</f>
        <v>3997.62</v>
      </c>
    </row>
    <row r="27" spans="1:9" x14ac:dyDescent="0.25">
      <c r="B27" s="3" t="s">
        <v>31</v>
      </c>
      <c r="C27" s="3" t="s">
        <v>5</v>
      </c>
      <c r="D27" s="7">
        <f>F27/$F$26</f>
        <v>1</v>
      </c>
      <c r="E27" s="11">
        <v>179.88</v>
      </c>
      <c r="F27" s="3">
        <v>33</v>
      </c>
      <c r="G27" s="11">
        <f t="shared" ref="G27" si="8">F27*E27</f>
        <v>5936.04</v>
      </c>
      <c r="H27" s="11">
        <v>121.14</v>
      </c>
      <c r="I27" s="11">
        <f t="shared" ref="I27" si="9">H27*F27</f>
        <v>3997.62</v>
      </c>
    </row>
    <row r="28" spans="1:9" x14ac:dyDescent="0.25">
      <c r="B28" s="3"/>
    </row>
    <row r="29" spans="1:9" x14ac:dyDescent="0.25">
      <c r="B29" s="2" t="s">
        <v>8</v>
      </c>
      <c r="C29" s="2" t="s">
        <v>5</v>
      </c>
      <c r="D29" s="8">
        <f>F29/F24</f>
        <v>2.3121387283236993E-2</v>
      </c>
      <c r="E29" s="10" t="s">
        <v>5</v>
      </c>
      <c r="F29" s="2">
        <f>SUM(F30:F30)</f>
        <v>4</v>
      </c>
      <c r="G29" s="10">
        <f>SUM(G30:G30)</f>
        <v>479.52</v>
      </c>
      <c r="H29" s="10" t="s">
        <v>5</v>
      </c>
      <c r="I29" s="10">
        <f>SUM(I30:I30)</f>
        <v>304.92</v>
      </c>
    </row>
    <row r="30" spans="1:9" x14ac:dyDescent="0.25">
      <c r="B30" s="3" t="s">
        <v>32</v>
      </c>
      <c r="C30" s="3" t="s">
        <v>5</v>
      </c>
      <c r="D30" s="7">
        <f>F30/$F$29</f>
        <v>1</v>
      </c>
      <c r="E30" s="11">
        <v>119.88</v>
      </c>
      <c r="F30" s="3">
        <v>4</v>
      </c>
      <c r="G30" s="11">
        <f t="shared" ref="G30" si="10">F30*E30</f>
        <v>479.52</v>
      </c>
      <c r="H30" s="11">
        <v>76.23</v>
      </c>
      <c r="I30" s="11">
        <f t="shared" ref="I30" si="11">H30*F30</f>
        <v>304.92</v>
      </c>
    </row>
    <row r="31" spans="1:9" x14ac:dyDescent="0.25">
      <c r="B31" s="3"/>
    </row>
    <row r="32" spans="1:9" x14ac:dyDescent="0.25">
      <c r="B32" s="2" t="s">
        <v>9</v>
      </c>
      <c r="C32" s="2" t="s">
        <v>5</v>
      </c>
      <c r="D32" s="8">
        <f>F32/F24</f>
        <v>1.1560693641618497E-2</v>
      </c>
      <c r="E32" s="10" t="s">
        <v>5</v>
      </c>
      <c r="F32" s="2">
        <f>SUM(F33:F33)</f>
        <v>2</v>
      </c>
      <c r="G32" s="10">
        <f>SUM(G33:G33)</f>
        <v>239.76</v>
      </c>
      <c r="H32" s="10" t="s">
        <v>5</v>
      </c>
      <c r="I32" s="10">
        <f>I33</f>
        <v>152.58000000000001</v>
      </c>
    </row>
    <row r="33" spans="1:9" x14ac:dyDescent="0.25">
      <c r="B33" s="3" t="s">
        <v>38</v>
      </c>
      <c r="C33" s="3" t="s">
        <v>5</v>
      </c>
      <c r="D33" s="7">
        <f>F33/$F$32</f>
        <v>1</v>
      </c>
      <c r="E33" s="11">
        <v>119.88</v>
      </c>
      <c r="F33" s="3">
        <v>2</v>
      </c>
      <c r="G33" s="11">
        <f t="shared" ref="G33" si="12">F33*E33</f>
        <v>239.76</v>
      </c>
      <c r="H33" s="11">
        <v>76.290000000000006</v>
      </c>
      <c r="I33" s="11">
        <f t="shared" ref="I33" si="13">H33*F33</f>
        <v>152.58000000000001</v>
      </c>
    </row>
    <row r="34" spans="1:9" x14ac:dyDescent="0.25">
      <c r="B34" s="4" t="s">
        <v>13</v>
      </c>
      <c r="C34" s="4" t="s">
        <v>5</v>
      </c>
      <c r="D34" s="4" t="s">
        <v>5</v>
      </c>
      <c r="E34" s="12" t="s">
        <v>5</v>
      </c>
      <c r="F34" s="4">
        <f>SUM(F32,F29,F26)</f>
        <v>39</v>
      </c>
      <c r="G34" s="12">
        <f>SUM(G26,G29,G32)</f>
        <v>6655.32</v>
      </c>
      <c r="H34" s="12" t="s">
        <v>5</v>
      </c>
      <c r="I34" s="12">
        <f>SUM(I26,I29,I32)</f>
        <v>4455.12</v>
      </c>
    </row>
    <row r="36" spans="1:9" x14ac:dyDescent="0.25">
      <c r="A36" s="17"/>
      <c r="B36" s="17"/>
      <c r="C36" s="17"/>
      <c r="D36" s="17"/>
      <c r="E36" s="18"/>
      <c r="F36" s="17"/>
      <c r="G36" s="18"/>
      <c r="H36" s="18"/>
      <c r="I36" s="18"/>
    </row>
    <row r="38" spans="1:9" x14ac:dyDescent="0.25">
      <c r="B38" s="20" t="s">
        <v>21</v>
      </c>
      <c r="C38" s="20"/>
      <c r="D38" s="20"/>
      <c r="E38" s="20"/>
      <c r="F38" s="20"/>
      <c r="G38" s="20"/>
      <c r="H38" s="20"/>
      <c r="I38" s="20"/>
    </row>
    <row r="39" spans="1:9" ht="31.5" x14ac:dyDescent="0.25">
      <c r="B39" s="13" t="s">
        <v>0</v>
      </c>
      <c r="C39" s="13"/>
      <c r="D39" s="13" t="s">
        <v>12</v>
      </c>
      <c r="E39" s="14" t="s">
        <v>1</v>
      </c>
      <c r="F39" s="13" t="s">
        <v>2</v>
      </c>
      <c r="G39" s="14" t="s">
        <v>3</v>
      </c>
      <c r="H39" s="14" t="s">
        <v>16</v>
      </c>
      <c r="I39" s="14" t="s">
        <v>4</v>
      </c>
    </row>
    <row r="40" spans="1:9" x14ac:dyDescent="0.25">
      <c r="B40" s="2"/>
      <c r="C40" s="2"/>
      <c r="D40" s="2"/>
      <c r="E40" s="10"/>
      <c r="F40" s="2"/>
      <c r="G40" s="10"/>
      <c r="H40" s="10"/>
      <c r="I40" s="10"/>
    </row>
    <row r="41" spans="1:9" x14ac:dyDescent="0.25">
      <c r="B41" s="3" t="s">
        <v>24</v>
      </c>
      <c r="C41" s="3" t="s">
        <v>5</v>
      </c>
      <c r="D41" s="7">
        <f>F41/$F$42</f>
        <v>1</v>
      </c>
      <c r="E41" s="11">
        <v>299.88</v>
      </c>
      <c r="F41" s="16">
        <f>'Consolidado (Funil B)'!F6</f>
        <v>352</v>
      </c>
      <c r="G41" s="11">
        <f t="shared" ref="G41" si="14">F41*E41</f>
        <v>105557.75999999999</v>
      </c>
      <c r="H41" s="11">
        <v>201.84</v>
      </c>
      <c r="I41" s="11">
        <f t="shared" ref="I41" si="15">H41*F41</f>
        <v>71047.680000000008</v>
      </c>
    </row>
    <row r="42" spans="1:9" x14ac:dyDescent="0.25">
      <c r="B42" s="4" t="s">
        <v>18</v>
      </c>
      <c r="C42" s="4" t="s">
        <v>5</v>
      </c>
      <c r="D42" s="4" t="s">
        <v>5</v>
      </c>
      <c r="E42" s="12" t="s">
        <v>5</v>
      </c>
      <c r="F42" s="4">
        <f>SUM(F41:F41)</f>
        <v>352</v>
      </c>
      <c r="G42" s="12">
        <f>SUM(G41:G41)</f>
        <v>105557.75999999999</v>
      </c>
      <c r="H42" s="12" t="s">
        <v>5</v>
      </c>
      <c r="I42" s="12">
        <f>SUM(I41:I41)</f>
        <v>71047.680000000008</v>
      </c>
    </row>
    <row r="43" spans="1:9" x14ac:dyDescent="0.25">
      <c r="B43" s="3"/>
    </row>
    <row r="44" spans="1:9" x14ac:dyDescent="0.25">
      <c r="B44" s="2" t="s">
        <v>7</v>
      </c>
      <c r="C44" s="2" t="s">
        <v>5</v>
      </c>
      <c r="D44" s="8">
        <f>F44/F42</f>
        <v>0.22159090909090909</v>
      </c>
      <c r="E44" s="10" t="s">
        <v>5</v>
      </c>
      <c r="F44" s="2">
        <f>SUM(F45:F45)</f>
        <v>78</v>
      </c>
      <c r="G44" s="10">
        <f>SUM(G45:G45)</f>
        <v>27144</v>
      </c>
      <c r="H44" s="10" t="s">
        <v>5</v>
      </c>
      <c r="I44" s="10">
        <f>SUM(I45:I45)</f>
        <v>19285.5</v>
      </c>
    </row>
    <row r="45" spans="1:9" x14ac:dyDescent="0.25">
      <c r="B45" s="3" t="s">
        <v>44</v>
      </c>
      <c r="C45" s="3" t="s">
        <v>5</v>
      </c>
      <c r="D45" s="7">
        <f>F45/$F$44</f>
        <v>1</v>
      </c>
      <c r="E45" s="11">
        <v>348</v>
      </c>
      <c r="F45" s="16">
        <v>78</v>
      </c>
      <c r="G45" s="11">
        <f t="shared" ref="G45" si="16">F45*E45</f>
        <v>27144</v>
      </c>
      <c r="H45" s="11">
        <v>247.25</v>
      </c>
      <c r="I45" s="11">
        <f t="shared" ref="I45" si="17">H45*F45</f>
        <v>19285.5</v>
      </c>
    </row>
    <row r="46" spans="1:9" x14ac:dyDescent="0.25">
      <c r="B46" s="3"/>
    </row>
    <row r="47" spans="1:9" x14ac:dyDescent="0.25">
      <c r="B47" s="2" t="s">
        <v>8</v>
      </c>
      <c r="C47" s="2" t="s">
        <v>5</v>
      </c>
      <c r="D47" s="8">
        <f>F47/F42</f>
        <v>9.0909090909090912E-2</v>
      </c>
      <c r="E47" s="10" t="s">
        <v>5</v>
      </c>
      <c r="F47" s="2">
        <f>SUM(F48:F48)</f>
        <v>32</v>
      </c>
      <c r="G47" s="10">
        <f>SUM(G48:G48)</f>
        <v>5756.16</v>
      </c>
      <c r="H47" s="10" t="s">
        <v>5</v>
      </c>
      <c r="I47" s="10">
        <f>SUM(I48:I48)</f>
        <v>3874.56</v>
      </c>
    </row>
    <row r="48" spans="1:9" x14ac:dyDescent="0.25">
      <c r="B48" s="3" t="s">
        <v>37</v>
      </c>
      <c r="C48" s="3" t="s">
        <v>5</v>
      </c>
      <c r="D48" s="7">
        <f>F48/$F$47</f>
        <v>1</v>
      </c>
      <c r="E48" s="11">
        <v>179.88</v>
      </c>
      <c r="F48" s="3">
        <v>32</v>
      </c>
      <c r="G48" s="11">
        <f t="shared" ref="G48" si="18">F48*E48</f>
        <v>5756.16</v>
      </c>
      <c r="H48" s="11">
        <v>121.08</v>
      </c>
      <c r="I48" s="11">
        <f t="shared" ref="I48" si="19">H48*F48</f>
        <v>3874.56</v>
      </c>
    </row>
    <row r="49" spans="2:9" x14ac:dyDescent="0.25">
      <c r="B49" s="3"/>
    </row>
    <row r="50" spans="2:9" x14ac:dyDescent="0.25">
      <c r="B50" s="2" t="s">
        <v>9</v>
      </c>
      <c r="C50" s="2" t="s">
        <v>5</v>
      </c>
      <c r="D50" s="8">
        <f>F50/F42</f>
        <v>5.3977272727272728E-2</v>
      </c>
      <c r="E50" s="10" t="s">
        <v>5</v>
      </c>
      <c r="F50" s="2">
        <f>SUM(F51:F51)</f>
        <v>19</v>
      </c>
      <c r="G50" s="10">
        <f>SUM(G51:G51)</f>
        <v>3417.72</v>
      </c>
      <c r="H50" s="10" t="s">
        <v>5</v>
      </c>
      <c r="I50" s="10">
        <f>SUM(I51:I51)</f>
        <v>2301.66</v>
      </c>
    </row>
    <row r="51" spans="2:9" x14ac:dyDescent="0.25">
      <c r="B51" s="3" t="s">
        <v>43</v>
      </c>
      <c r="C51" s="3" t="s">
        <v>5</v>
      </c>
      <c r="D51" s="7">
        <f>F51/$F$50</f>
        <v>1</v>
      </c>
      <c r="E51" s="11">
        <v>179.88</v>
      </c>
      <c r="F51" s="3">
        <v>19</v>
      </c>
      <c r="G51" s="11">
        <f t="shared" ref="G51" si="20">F51*E51</f>
        <v>3417.72</v>
      </c>
      <c r="H51" s="11">
        <v>121.14</v>
      </c>
      <c r="I51" s="11">
        <f t="shared" ref="I51" si="21">H51*F51</f>
        <v>2301.66</v>
      </c>
    </row>
    <row r="52" spans="2:9" x14ac:dyDescent="0.25">
      <c r="B52" s="4" t="s">
        <v>13</v>
      </c>
      <c r="C52" s="4" t="s">
        <v>5</v>
      </c>
      <c r="D52" s="4" t="s">
        <v>5</v>
      </c>
      <c r="E52" s="12" t="s">
        <v>5</v>
      </c>
      <c r="F52" s="4">
        <f>SUM(F50,F47,F44)</f>
        <v>129</v>
      </c>
      <c r="G52" s="12">
        <f>SUM(G44,G47,G50)</f>
        <v>36317.880000000005</v>
      </c>
      <c r="H52" s="12" t="s">
        <v>5</v>
      </c>
      <c r="I52" s="12">
        <f>SUM(I44,I47,I50)</f>
        <v>25461.72</v>
      </c>
    </row>
  </sheetData>
  <mergeCells count="3">
    <mergeCell ref="B2:I2"/>
    <mergeCell ref="B20:I20"/>
    <mergeCell ref="B38:I3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Consolidado (Funil A)</vt:lpstr>
      <vt:lpstr>Fluxos Separados por FE (A)</vt:lpstr>
      <vt:lpstr>Consolidado (Funil B)</vt:lpstr>
      <vt:lpstr>Fluxos Separados por FE (B)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.</dc:creator>
  <cp:lastModifiedBy>Eduardo de Oliveira Araujo</cp:lastModifiedBy>
  <dcterms:created xsi:type="dcterms:W3CDTF">2026-03-04T00:19:29Z</dcterms:created>
  <dcterms:modified xsi:type="dcterms:W3CDTF">2026-03-26T23:30:39Z</dcterms:modified>
</cp:coreProperties>
</file>